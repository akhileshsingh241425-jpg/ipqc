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k\PDI\24. Rays PDI\Lot 2\"/>
    </mc:Choice>
  </mc:AlternateContent>
  <xr:revisionPtr revIDLastSave="0" documentId="13_ncr:1_{3479E7AC-B70F-478D-9CCA-BFDCF4FE6F9A}" xr6:coauthVersionLast="47" xr6:coauthVersionMax="47" xr10:uidLastSave="{00000000-0000-0000-0000-000000000000}"/>
  <bookViews>
    <workbookView xWindow="-108" yWindow="-108" windowWidth="23256" windowHeight="12456" tabRatio="869" activeTab="7" xr2:uid="{00000000-000D-0000-FFFF-FFFF00000000}"/>
  </bookViews>
  <sheets>
    <sheet name="Samples" sheetId="10" r:id="rId1"/>
    <sheet name="MS" sheetId="11" r:id="rId2"/>
    <sheet name="FTR(Inspection)" sheetId="1" r:id="rId3"/>
    <sheet name="Bifaciality" sheetId="8" r:id="rId4"/>
    <sheet name="Visual Inspection Sheet" sheetId="6" r:id="rId5"/>
    <sheet name="EL Inspection Sheet" sheetId="7" r:id="rId6"/>
    <sheet name="IR,HV,GD,Wet Leakage" sheetId="2" r:id="rId7"/>
    <sheet name="Dimension" sheetId="5" r:id="rId8"/>
    <sheet name="RFID" sheetId="9" r:id="rId9"/>
  </sheets>
  <definedNames>
    <definedName name="_xlnm._FilterDatabase" localSheetId="3" hidden="1">Bifaciality!$A$5:$Q$6</definedName>
    <definedName name="_xlnm._FilterDatabase" localSheetId="7" hidden="1">Dimension!$A$5:$Q$6</definedName>
    <definedName name="_xlnm._FilterDatabase" localSheetId="5" hidden="1">'EL Inspection Sheet'!$A$5:$D$5</definedName>
    <definedName name="_xlnm._FilterDatabase" localSheetId="2" hidden="1">'FTR(Inspection)'!$A$5:$I$86</definedName>
    <definedName name="_xlnm._FilterDatabase" localSheetId="6" hidden="1">'IR,HV,GD,Wet Leakage'!$A$5:$G$5</definedName>
    <definedName name="_xlnm._FilterDatabase" localSheetId="1" hidden="1">MS!$A$1:$S$46</definedName>
    <definedName name="_xlnm._FilterDatabase" localSheetId="8" hidden="1">RFID!$A$1:$O$19</definedName>
    <definedName name="_xlnm._FilterDatabase" localSheetId="4" hidden="1">'Visual Inspection Sheet'!$A$1:$D$56</definedName>
    <definedName name="_xlnm.Print_Area" localSheetId="3">Bifaciality!$A$1:$Q$20</definedName>
    <definedName name="_xlnm.Print_Area" localSheetId="5">'EL Inspection Sheet'!$A$1:$D$19</definedName>
    <definedName name="_xlnm.Print_Area" localSheetId="2">'FTR(Inspection)'!$A$1:$I$86</definedName>
    <definedName name="_xlnm.Print_Area" localSheetId="4">'Visual Inspection Sheet'!$A$1:$D$85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5" l="1"/>
  <c r="H16" i="5"/>
  <c r="H8" i="5"/>
  <c r="H12" i="5"/>
  <c r="H9" i="5"/>
  <c r="H14" i="5"/>
  <c r="H10" i="5"/>
  <c r="K58" i="1" l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C8" i="1"/>
  <c r="C16" i="8" s="1"/>
  <c r="Q16" i="8" s="1"/>
  <c r="D8" i="1"/>
  <c r="E8" i="1"/>
  <c r="F8" i="1"/>
  <c r="G8" i="1"/>
  <c r="H8" i="1"/>
  <c r="H16" i="8" s="1"/>
  <c r="I8" i="1"/>
  <c r="C9" i="1"/>
  <c r="D9" i="1"/>
  <c r="D12" i="8" s="1"/>
  <c r="E9" i="1"/>
  <c r="F9" i="1"/>
  <c r="G9" i="1"/>
  <c r="H9" i="1"/>
  <c r="I9" i="1"/>
  <c r="I12" i="8" s="1"/>
  <c r="C10" i="1"/>
  <c r="D10" i="1"/>
  <c r="E10" i="1"/>
  <c r="E9" i="8" s="1"/>
  <c r="F10" i="1"/>
  <c r="G10" i="1"/>
  <c r="H10" i="1"/>
  <c r="I10" i="1"/>
  <c r="C11" i="1"/>
  <c r="C10" i="8" s="1"/>
  <c r="Q10" i="8" s="1"/>
  <c r="D11" i="1"/>
  <c r="D10" i="8" s="1"/>
  <c r="E11" i="1"/>
  <c r="E10" i="8" s="1"/>
  <c r="F11" i="1"/>
  <c r="F10" i="8" s="1"/>
  <c r="G11" i="1"/>
  <c r="G10" i="8" s="1"/>
  <c r="H11" i="1"/>
  <c r="H10" i="8" s="1"/>
  <c r="I11" i="1"/>
  <c r="I10" i="8" s="1"/>
  <c r="C12" i="1"/>
  <c r="D12" i="1"/>
  <c r="D18" i="8" s="1"/>
  <c r="E12" i="1"/>
  <c r="F12" i="1"/>
  <c r="G12" i="1"/>
  <c r="G18" i="8" s="1"/>
  <c r="H12" i="1"/>
  <c r="I12" i="1"/>
  <c r="C13" i="1"/>
  <c r="C8" i="8" s="1"/>
  <c r="Q8" i="8" s="1"/>
  <c r="D13" i="1"/>
  <c r="D8" i="8" s="1"/>
  <c r="E13" i="1"/>
  <c r="E8" i="8" s="1"/>
  <c r="F13" i="1"/>
  <c r="F8" i="8" s="1"/>
  <c r="G13" i="1"/>
  <c r="G8" i="8" s="1"/>
  <c r="H13" i="1"/>
  <c r="H8" i="8" s="1"/>
  <c r="I13" i="1"/>
  <c r="I8" i="8" s="1"/>
  <c r="C14" i="1"/>
  <c r="D14" i="1"/>
  <c r="E14" i="1"/>
  <c r="F14" i="1"/>
  <c r="F14" i="8" s="1"/>
  <c r="G14" i="1"/>
  <c r="H14" i="1"/>
  <c r="I14" i="1"/>
  <c r="I14" i="8" s="1"/>
  <c r="C15" i="1"/>
  <c r="C7" i="8" s="1"/>
  <c r="Q7" i="8" s="1"/>
  <c r="D15" i="1"/>
  <c r="D7" i="8" s="1"/>
  <c r="E15" i="1"/>
  <c r="E7" i="8" s="1"/>
  <c r="F15" i="1"/>
  <c r="F7" i="8" s="1"/>
  <c r="G15" i="1"/>
  <c r="G7" i="8" s="1"/>
  <c r="H15" i="1"/>
  <c r="H7" i="8" s="1"/>
  <c r="I15" i="1"/>
  <c r="I7" i="8" s="1"/>
  <c r="C16" i="1"/>
  <c r="C13" i="8" s="1"/>
  <c r="Q13" i="8" s="1"/>
  <c r="D16" i="1"/>
  <c r="E16" i="1"/>
  <c r="F16" i="1"/>
  <c r="G16" i="1"/>
  <c r="H16" i="1"/>
  <c r="H13" i="8" s="1"/>
  <c r="I16" i="1"/>
  <c r="C17" i="1"/>
  <c r="C15" i="8" s="1"/>
  <c r="Q15" i="8" s="1"/>
  <c r="D17" i="1"/>
  <c r="D15" i="8" s="1"/>
  <c r="E17" i="1"/>
  <c r="E15" i="8" s="1"/>
  <c r="F17" i="1"/>
  <c r="F15" i="8" s="1"/>
  <c r="G17" i="1"/>
  <c r="G15" i="8" s="1"/>
  <c r="H17" i="1"/>
  <c r="H15" i="8" s="1"/>
  <c r="I17" i="1"/>
  <c r="I15" i="8" s="1"/>
  <c r="C18" i="1"/>
  <c r="D18" i="1"/>
  <c r="E18" i="1"/>
  <c r="E17" i="8" s="1"/>
  <c r="F18" i="1"/>
  <c r="G18" i="1"/>
  <c r="H18" i="1"/>
  <c r="I18" i="1"/>
  <c r="C19" i="1"/>
  <c r="C11" i="8" s="1"/>
  <c r="Q11" i="8" s="1"/>
  <c r="D19" i="1"/>
  <c r="D11" i="8" s="1"/>
  <c r="E19" i="1"/>
  <c r="E11" i="8" s="1"/>
  <c r="F19" i="1"/>
  <c r="F11" i="8" s="1"/>
  <c r="G19" i="1"/>
  <c r="G11" i="8" s="1"/>
  <c r="H19" i="1"/>
  <c r="H11" i="8" s="1"/>
  <c r="I19" i="1"/>
  <c r="I11" i="8" s="1"/>
  <c r="C20" i="1"/>
  <c r="C19" i="8" s="1"/>
  <c r="Q19" i="8" s="1"/>
  <c r="D20" i="1"/>
  <c r="D19" i="8" s="1"/>
  <c r="E20" i="1"/>
  <c r="E19" i="8" s="1"/>
  <c r="F20" i="1"/>
  <c r="F19" i="8" s="1"/>
  <c r="G20" i="1"/>
  <c r="G19" i="8" s="1"/>
  <c r="H20" i="1"/>
  <c r="H19" i="8" s="1"/>
  <c r="I20" i="1"/>
  <c r="I19" i="8" s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C46" i="1"/>
  <c r="D46" i="1"/>
  <c r="E46" i="1"/>
  <c r="F46" i="1"/>
  <c r="G46" i="1"/>
  <c r="H46" i="1"/>
  <c r="I46" i="1"/>
  <c r="C47" i="1"/>
  <c r="D47" i="1"/>
  <c r="E47" i="1"/>
  <c r="F47" i="1"/>
  <c r="G47" i="1"/>
  <c r="H47" i="1"/>
  <c r="I47" i="1"/>
  <c r="C48" i="1"/>
  <c r="D48" i="1"/>
  <c r="E48" i="1"/>
  <c r="F48" i="1"/>
  <c r="G48" i="1"/>
  <c r="H48" i="1"/>
  <c r="I48" i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C63" i="1"/>
  <c r="D63" i="1"/>
  <c r="E63" i="1"/>
  <c r="F63" i="1"/>
  <c r="G63" i="1"/>
  <c r="H63" i="1"/>
  <c r="I63" i="1"/>
  <c r="C64" i="1"/>
  <c r="D64" i="1"/>
  <c r="E64" i="1"/>
  <c r="F64" i="1"/>
  <c r="G64" i="1"/>
  <c r="H64" i="1"/>
  <c r="I64" i="1"/>
  <c r="C65" i="1"/>
  <c r="D65" i="1"/>
  <c r="E65" i="1"/>
  <c r="F65" i="1"/>
  <c r="G65" i="1"/>
  <c r="H65" i="1"/>
  <c r="I65" i="1"/>
  <c r="C66" i="1"/>
  <c r="D66" i="1"/>
  <c r="E66" i="1"/>
  <c r="F66" i="1"/>
  <c r="G66" i="1"/>
  <c r="H66" i="1"/>
  <c r="I66" i="1"/>
  <c r="C67" i="1"/>
  <c r="D67" i="1"/>
  <c r="E67" i="1"/>
  <c r="F67" i="1"/>
  <c r="G67" i="1"/>
  <c r="H67" i="1"/>
  <c r="I67" i="1"/>
  <c r="C68" i="1"/>
  <c r="D68" i="1"/>
  <c r="E68" i="1"/>
  <c r="F68" i="1"/>
  <c r="G68" i="1"/>
  <c r="H68" i="1"/>
  <c r="I68" i="1"/>
  <c r="C69" i="1"/>
  <c r="D69" i="1"/>
  <c r="E69" i="1"/>
  <c r="F69" i="1"/>
  <c r="G69" i="1"/>
  <c r="H69" i="1"/>
  <c r="I69" i="1"/>
  <c r="C70" i="1"/>
  <c r="D70" i="1"/>
  <c r="E70" i="1"/>
  <c r="F70" i="1"/>
  <c r="G70" i="1"/>
  <c r="H70" i="1"/>
  <c r="I70" i="1"/>
  <c r="C71" i="1"/>
  <c r="D71" i="1"/>
  <c r="E71" i="1"/>
  <c r="F71" i="1"/>
  <c r="G71" i="1"/>
  <c r="H71" i="1"/>
  <c r="I71" i="1"/>
  <c r="C72" i="1"/>
  <c r="D72" i="1"/>
  <c r="E72" i="1"/>
  <c r="F72" i="1"/>
  <c r="G72" i="1"/>
  <c r="H72" i="1"/>
  <c r="I72" i="1"/>
  <c r="C73" i="1"/>
  <c r="D73" i="1"/>
  <c r="E73" i="1"/>
  <c r="F73" i="1"/>
  <c r="G73" i="1"/>
  <c r="H73" i="1"/>
  <c r="I73" i="1"/>
  <c r="C74" i="1"/>
  <c r="D74" i="1"/>
  <c r="E74" i="1"/>
  <c r="F74" i="1"/>
  <c r="G74" i="1"/>
  <c r="H74" i="1"/>
  <c r="I74" i="1"/>
  <c r="C75" i="1"/>
  <c r="D75" i="1"/>
  <c r="E75" i="1"/>
  <c r="F75" i="1"/>
  <c r="G75" i="1"/>
  <c r="H75" i="1"/>
  <c r="I75" i="1"/>
  <c r="C76" i="1"/>
  <c r="D76" i="1"/>
  <c r="E76" i="1"/>
  <c r="F76" i="1"/>
  <c r="G76" i="1"/>
  <c r="H76" i="1"/>
  <c r="I76" i="1"/>
  <c r="C77" i="1"/>
  <c r="D77" i="1"/>
  <c r="E77" i="1"/>
  <c r="F77" i="1"/>
  <c r="G77" i="1"/>
  <c r="H77" i="1"/>
  <c r="I77" i="1"/>
  <c r="C78" i="1"/>
  <c r="D78" i="1"/>
  <c r="E78" i="1"/>
  <c r="F78" i="1"/>
  <c r="G78" i="1"/>
  <c r="H78" i="1"/>
  <c r="I78" i="1"/>
  <c r="C79" i="1"/>
  <c r="D79" i="1"/>
  <c r="E79" i="1"/>
  <c r="F79" i="1"/>
  <c r="G79" i="1"/>
  <c r="H79" i="1"/>
  <c r="I79" i="1"/>
  <c r="C80" i="1"/>
  <c r="D80" i="1"/>
  <c r="E80" i="1"/>
  <c r="F80" i="1"/>
  <c r="G80" i="1"/>
  <c r="H80" i="1"/>
  <c r="I80" i="1"/>
  <c r="C81" i="1"/>
  <c r="D81" i="1"/>
  <c r="E81" i="1"/>
  <c r="F81" i="1"/>
  <c r="G81" i="1"/>
  <c r="H81" i="1"/>
  <c r="I81" i="1"/>
  <c r="C82" i="1"/>
  <c r="D82" i="1"/>
  <c r="E82" i="1"/>
  <c r="F82" i="1"/>
  <c r="G82" i="1"/>
  <c r="H82" i="1"/>
  <c r="I82" i="1"/>
  <c r="C83" i="1"/>
  <c r="D83" i="1"/>
  <c r="E83" i="1"/>
  <c r="F83" i="1"/>
  <c r="G83" i="1"/>
  <c r="H83" i="1"/>
  <c r="I83" i="1"/>
  <c r="C84" i="1"/>
  <c r="D84" i="1"/>
  <c r="E84" i="1"/>
  <c r="F84" i="1"/>
  <c r="G84" i="1"/>
  <c r="H84" i="1"/>
  <c r="I84" i="1"/>
  <c r="C85" i="1"/>
  <c r="D85" i="1"/>
  <c r="E85" i="1"/>
  <c r="F85" i="1"/>
  <c r="G85" i="1"/>
  <c r="H85" i="1"/>
  <c r="I85" i="1"/>
  <c r="C86" i="1"/>
  <c r="D86" i="1"/>
  <c r="E86" i="1"/>
  <c r="F86" i="1"/>
  <c r="G86" i="1"/>
  <c r="H86" i="1"/>
  <c r="I86" i="1"/>
  <c r="I7" i="1"/>
  <c r="I20" i="8" s="1"/>
  <c r="H7" i="1"/>
  <c r="H20" i="8" s="1"/>
  <c r="G7" i="1"/>
  <c r="G20" i="8" s="1"/>
  <c r="F7" i="1"/>
  <c r="F20" i="8" s="1"/>
  <c r="E7" i="1"/>
  <c r="E20" i="8" s="1"/>
  <c r="D7" i="1"/>
  <c r="D20" i="8" s="1"/>
  <c r="C7" i="1"/>
  <c r="C20" i="8" s="1"/>
  <c r="Q20" i="8" s="1"/>
  <c r="F12" i="8"/>
  <c r="H14" i="8"/>
  <c r="G13" i="8"/>
  <c r="I13" i="8"/>
  <c r="E18" i="8"/>
  <c r="F18" i="8"/>
  <c r="H11" i="5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6" i="1"/>
  <c r="H20" i="5"/>
  <c r="H15" i="5"/>
  <c r="H7" i="5"/>
  <c r="H13" i="5"/>
  <c r="H18" i="5"/>
  <c r="H19" i="5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" i="6"/>
  <c r="T8" i="8"/>
  <c r="T9" i="8"/>
  <c r="T10" i="8"/>
  <c r="T11" i="8"/>
  <c r="T12" i="8"/>
  <c r="T13" i="8"/>
  <c r="T14" i="8"/>
  <c r="T7" i="8"/>
  <c r="S8" i="8"/>
  <c r="S9" i="8"/>
  <c r="S10" i="8"/>
  <c r="S11" i="8"/>
  <c r="S12" i="8"/>
  <c r="S13" i="8"/>
  <c r="S14" i="8"/>
  <c r="S7" i="8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6" i="1"/>
  <c r="C17" i="8"/>
  <c r="Q17" i="8" s="1"/>
  <c r="C18" i="8"/>
  <c r="Q18" i="8" s="1"/>
  <c r="C14" i="8"/>
  <c r="Q14" i="8" s="1"/>
  <c r="C12" i="8"/>
  <c r="Q12" i="8" s="1"/>
  <c r="C9" i="8"/>
  <c r="Q9" i="8" s="1"/>
  <c r="D16" i="8"/>
  <c r="E16" i="8"/>
  <c r="F16" i="8"/>
  <c r="G16" i="8"/>
  <c r="I16" i="8"/>
  <c r="D17" i="8"/>
  <c r="F17" i="8"/>
  <c r="G17" i="8"/>
  <c r="H17" i="8"/>
  <c r="I17" i="8"/>
  <c r="H18" i="8"/>
  <c r="I18" i="8"/>
  <c r="D14" i="8"/>
  <c r="E14" i="8"/>
  <c r="G14" i="8"/>
  <c r="E12" i="8"/>
  <c r="G12" i="8"/>
  <c r="H12" i="8"/>
  <c r="D13" i="8"/>
  <c r="E13" i="8"/>
  <c r="F13" i="8"/>
  <c r="I9" i="8"/>
  <c r="H9" i="8"/>
  <c r="G9" i="8"/>
  <c r="F9" i="8"/>
  <c r="D9" i="8"/>
</calcChain>
</file>

<file path=xl/sharedStrings.xml><?xml version="1.0" encoding="utf-8"?>
<sst xmlns="http://schemas.openxmlformats.org/spreadsheetml/2006/main" count="790" uniqueCount="208">
  <si>
    <t>MODULE ID</t>
  </si>
  <si>
    <t>REMARKS</t>
  </si>
  <si>
    <t>SL.NO</t>
  </si>
  <si>
    <t>Gautam Solar Private Limited.</t>
  </si>
  <si>
    <t xml:space="preserve">Gautam Solar Private Limited. </t>
  </si>
  <si>
    <t>Flasher Test (Power Determination Test)</t>
  </si>
  <si>
    <t>OK</t>
  </si>
  <si>
    <t>Defects</t>
  </si>
  <si>
    <t>Module length</t>
  </si>
  <si>
    <t>Module width</t>
  </si>
  <si>
    <t>Diagonal 1</t>
  </si>
  <si>
    <t>Diagonal 2</t>
  </si>
  <si>
    <t>Diagonal  difference</t>
  </si>
  <si>
    <t>Mounting hole to mounting hole distance 1#</t>
  </si>
  <si>
    <t>Mountain hole1 (Length * width)</t>
  </si>
  <si>
    <t>Connector type</t>
  </si>
  <si>
    <t>Ground hole nos as per Drawing</t>
  </si>
  <si>
    <t>Drain Hole as per Drawing</t>
  </si>
  <si>
    <t>mm</t>
  </si>
  <si>
    <t>(mm)</t>
  </si>
  <si>
    <t>mm*mm</t>
  </si>
  <si>
    <t>14*9</t>
  </si>
  <si>
    <t>MC4</t>
  </si>
  <si>
    <t>Module ID</t>
  </si>
  <si>
    <t>Sr. No.</t>
  </si>
  <si>
    <t>Visual Inspection Checksheet</t>
  </si>
  <si>
    <t>EL Inspection Checksheet</t>
  </si>
  <si>
    <t>Sr.No.</t>
  </si>
  <si>
    <t>Pmax</t>
  </si>
  <si>
    <t>Isc</t>
  </si>
  <si>
    <t>Voc</t>
  </si>
  <si>
    <t>Ipm</t>
  </si>
  <si>
    <t>Vpm</t>
  </si>
  <si>
    <t>FF</t>
  </si>
  <si>
    <t>Ref</t>
  </si>
  <si>
    <t>Remark</t>
  </si>
  <si>
    <t>Mounting hole to mounting hole distance 2#</t>
  </si>
  <si>
    <t>Mounting hole to mounting hole distance 3#</t>
  </si>
  <si>
    <t>Anodizing Coating Thickness</t>
  </si>
  <si>
    <t>µm</t>
  </si>
  <si>
    <t>Module Serial No.</t>
  </si>
  <si>
    <t>Bi-Faciality of Solar PV Module</t>
  </si>
  <si>
    <t>Front Side Electrical Parameter</t>
  </si>
  <si>
    <t>Rare Side Electrical Parameter</t>
  </si>
  <si>
    <t>Eff.</t>
  </si>
  <si>
    <t>eff</t>
  </si>
  <si>
    <t>Module Sr.No.</t>
  </si>
  <si>
    <t>Module Thickness(Profile)</t>
  </si>
  <si>
    <t>id</t>
  </si>
  <si>
    <t>s_no</t>
  </si>
  <si>
    <t>m_type</t>
  </si>
  <si>
    <t>manufacture_pv_module</t>
  </si>
  <si>
    <t>manufacture_solar_cell</t>
  </si>
  <si>
    <t>month_year_solar_cells</t>
  </si>
  <si>
    <t>month_year_module_pv</t>
  </si>
  <si>
    <t>p_max_the_module</t>
  </si>
  <si>
    <t>v_max_the_module</t>
  </si>
  <si>
    <t>i_max_the_module</t>
  </si>
  <si>
    <t>ff</t>
  </si>
  <si>
    <t>v_o_c_</t>
  </si>
  <si>
    <t>i_s_c</t>
  </si>
  <si>
    <t>lab_issuing_iec_certificate</t>
  </si>
  <si>
    <t>date_obtain_ice_certificate</t>
  </si>
  <si>
    <r>
      <t>Bi-faciality Factor(</t>
    </r>
    <r>
      <rPr>
        <b/>
        <sz val="11"/>
        <color theme="1"/>
        <rFont val="Aptos Narrow"/>
        <family val="2"/>
      </rPr>
      <t>≥</t>
    </r>
    <r>
      <rPr>
        <b/>
        <sz val="9.9"/>
        <color theme="1"/>
        <rFont val="Calibri"/>
        <family val="2"/>
      </rPr>
      <t>70%)</t>
    </r>
  </si>
  <si>
    <t>IR TEST(≥40MΩ.m²) at 1500V for 1 min.</t>
  </si>
  <si>
    <t>GROUND CONTINUITY TEST (&lt;0.1Ω) at 62.5A</t>
  </si>
  <si>
    <t>Wet Leakage Test(IR≥40MΩ.m²) at 1500V for 2 min.</t>
  </si>
  <si>
    <t>GS04800KG2552500001 REF</t>
  </si>
  <si>
    <t>Nil</t>
  </si>
  <si>
    <t>Ok</t>
  </si>
  <si>
    <t>DTH</t>
  </si>
  <si>
    <t>GSPL</t>
  </si>
  <si>
    <t>RFID Inspection Report</t>
  </si>
  <si>
    <t>Date</t>
  </si>
  <si>
    <t>ID</t>
  </si>
  <si>
    <t>Rs</t>
  </si>
  <si>
    <t>Rsh</t>
  </si>
  <si>
    <t>Eff</t>
  </si>
  <si>
    <t>T_Object</t>
  </si>
  <si>
    <t>T_Target</t>
  </si>
  <si>
    <t>Class</t>
  </si>
  <si>
    <t>Sweep_Time</t>
  </si>
  <si>
    <t>Irr_MonCell</t>
  </si>
  <si>
    <t>Isc_MonCell</t>
  </si>
  <si>
    <t>T_MonCell</t>
  </si>
  <si>
    <t>T_Ambient</t>
  </si>
  <si>
    <t>SOLARSPACE</t>
  </si>
  <si>
    <t xml:space="preserve"> IR, HV, Ground continuity &amp; Wet Leakage Test</t>
  </si>
  <si>
    <t>Dimension &amp; Anodizing Coating Thickness Measurement Report</t>
  </si>
  <si>
    <t>Cable Length</t>
  </si>
  <si>
    <t>16.8</t>
  </si>
  <si>
    <t>Date :-06/01/2026, 07/01/2026 &amp; 08/01/2026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</si>
  <si>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</si>
  <si>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</si>
  <si>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</si>
  <si>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</si>
  <si>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</si>
  <si>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</si>
  <si>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</si>
  <si>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</si>
  <si>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</si>
  <si>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</si>
  <si>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</si>
  <si>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</si>
  <si>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</si>
  <si>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</si>
  <si>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 xml:space="preserve">Total Qty:- 48096Pcs                                                                                                                                                                                   Sample Qty:- 80Nos </t>
  </si>
  <si>
    <t>GS04875KG3022540510</t>
  </si>
  <si>
    <t>GS04875KG3022525996</t>
  </si>
  <si>
    <t>GS04875KG3022532867</t>
  </si>
  <si>
    <t>GS04875KG3022532946</t>
  </si>
  <si>
    <t>GS04875KG3022530908</t>
  </si>
  <si>
    <t>GS04875KG3022502254</t>
  </si>
  <si>
    <t>GS04875KG3022536273</t>
  </si>
  <si>
    <t>GS04875KG3022537950</t>
  </si>
  <si>
    <t>GS04875KG3022522517</t>
  </si>
  <si>
    <t>GS04875KG3022522147</t>
  </si>
  <si>
    <t>GS04875KG3022543092</t>
  </si>
  <si>
    <t>GS04875KG3022542847</t>
  </si>
  <si>
    <t>GS04875KG3022540326</t>
  </si>
  <si>
    <t>GS04875KG3022531572</t>
  </si>
  <si>
    <t>GS04875KG3022527291</t>
  </si>
  <si>
    <t>GS04875KG3022527570</t>
  </si>
  <si>
    <t>GS04875KG3022531004</t>
  </si>
  <si>
    <t>GS04875KG3022531491</t>
  </si>
  <si>
    <t>GS04875KG3022533046</t>
  </si>
  <si>
    <t>GS04875KG3022533102</t>
  </si>
  <si>
    <t>GS04875KG3022534288</t>
  </si>
  <si>
    <t>GS04875KG3022539048</t>
  </si>
  <si>
    <t>GS04875KG3022539168</t>
  </si>
  <si>
    <t>GS04875KG3022541679</t>
  </si>
  <si>
    <t>GS04875KG3022541791</t>
  </si>
  <si>
    <t>GS04875KG3022542219</t>
  </si>
  <si>
    <t>GS04875KG3022542263</t>
  </si>
  <si>
    <t>GS04875KG3022546229</t>
  </si>
  <si>
    <t>GS04875KG3022546301</t>
  </si>
  <si>
    <t>GS04875KG3022546333</t>
  </si>
  <si>
    <t>GS04875KG3022546420</t>
  </si>
  <si>
    <t>GS04875KG3022546741</t>
  </si>
  <si>
    <t>GS04875KG3022547068</t>
  </si>
  <si>
    <t>GS04875KG3022550070</t>
  </si>
  <si>
    <t>GS04875KG3022550088</t>
  </si>
  <si>
    <t>GS04875KG3022550114</t>
  </si>
  <si>
    <t>GS04875KG3022550715</t>
  </si>
  <si>
    <t>GS04875KG3022553040</t>
  </si>
  <si>
    <t>GS04875KG3022553056</t>
  </si>
  <si>
    <t>GS04875KG3022553122</t>
  </si>
  <si>
    <t>GS04875KG3022554526</t>
  </si>
  <si>
    <t>GS04875KG3022554551</t>
  </si>
  <si>
    <t>GS04875KG3022555454</t>
  </si>
  <si>
    <t>GS04875KG3022555472</t>
  </si>
  <si>
    <t>GS04875KG3022556702</t>
  </si>
  <si>
    <t>GS04875KG3022556732</t>
  </si>
  <si>
    <t>GS04875KG3022557406</t>
  </si>
  <si>
    <t>GS04875KG3022557692</t>
  </si>
  <si>
    <t>GS04875KG3022557716</t>
  </si>
  <si>
    <t>GS04875KG3022557721</t>
  </si>
  <si>
    <t>GS04875KG3022558536</t>
  </si>
  <si>
    <t>GS04875KG3022558581</t>
  </si>
  <si>
    <t>GS04875KG3022561038</t>
  </si>
  <si>
    <t>GS04875KG3022561157</t>
  </si>
  <si>
    <t>GS04875KG3022561403</t>
  </si>
  <si>
    <t>GS04875KG3022562392</t>
  </si>
  <si>
    <t>GS04875KG3022562772</t>
  </si>
  <si>
    <t>GS04875KG3022564061</t>
  </si>
  <si>
    <t>GS04875KG3022564753</t>
  </si>
  <si>
    <t>GS04875KG3022564845</t>
  </si>
  <si>
    <t>GS04875KG3022566259</t>
  </si>
  <si>
    <t>GS04875KG3022568365</t>
  </si>
  <si>
    <t>GS04875KG3022570360</t>
  </si>
  <si>
    <t>GS04875KG3022570497</t>
  </si>
  <si>
    <t>GS04875KG3022570666</t>
  </si>
  <si>
    <t>GS04875KG3022570819</t>
  </si>
  <si>
    <t>GS04875KG3022571398</t>
  </si>
  <si>
    <t>GS04875KG3022571448</t>
  </si>
  <si>
    <t>GS04875KG3022572247</t>
  </si>
  <si>
    <t>GS04875KG3022572886</t>
  </si>
  <si>
    <t>GS04875KG3022574033</t>
  </si>
  <si>
    <t>GS04875KG3022574057</t>
  </si>
  <si>
    <t>GS04875KG3022577361</t>
  </si>
  <si>
    <t>GS04875KG3022577444</t>
  </si>
  <si>
    <t>GS04875KG3022581027</t>
  </si>
  <si>
    <t>GS04875KG3022581035</t>
  </si>
  <si>
    <t>GS04875KG3022540559</t>
  </si>
  <si>
    <t>GS04875KG3022539099</t>
  </si>
  <si>
    <t>GS04875KG3022539129</t>
  </si>
  <si>
    <t>GS04875KG3022540629</t>
  </si>
  <si>
    <t xml:space="preserve">Total Qty:- 48096Pcs                                                                                                                                                                     Sample Qty:- 80 Nos </t>
  </si>
  <si>
    <t xml:space="preserve">Total Qty:- 48096Pcs                                                                                                Sample Qty:- 14 Nos </t>
  </si>
  <si>
    <t xml:space="preserve">Total Qty:- 48096Pcs                                                                                            Sample Qty:-14 Nos </t>
  </si>
  <si>
    <t xml:space="preserve">Total Qty:- 48096Pcs                                                                                                                                                                                                                                                            Sample Qty:-14 Nos </t>
  </si>
  <si>
    <t xml:space="preserve">Total Qty:- 48096Pcs                                                                                                                                                                                                                                                                                                  Sample Qty:-14 Nos </t>
  </si>
  <si>
    <t>DCW TEST (&lt;50µA) at 4.8kv for 1 min.</t>
  </si>
  <si>
    <t>16.9</t>
  </si>
  <si>
    <t>17.3</t>
  </si>
  <si>
    <t>17.6</t>
  </si>
  <si>
    <t>18.1</t>
  </si>
  <si>
    <t>17.2</t>
  </si>
  <si>
    <t>17.1</t>
  </si>
  <si>
    <t>19.6</t>
  </si>
  <si>
    <t>16.4</t>
  </si>
  <si>
    <t>19.3</t>
  </si>
  <si>
    <t>16.5</t>
  </si>
  <si>
    <t>17.8</t>
  </si>
  <si>
    <t>625W</t>
  </si>
  <si>
    <t>Aug, 25</t>
  </si>
  <si>
    <t>Nov, 25</t>
  </si>
  <si>
    <t xml:space="preserve">Total Qty:- 48096Pcs                                                                                                                                                                                                                                                      Sample Qty:- 14 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</si>
</sst>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10404]#,##0;\-#,##0"/>
    <numFmt numFmtId="165" formatCode="0.00\ &quot;GΩ&quot;"/>
    <numFmt numFmtId="166" formatCode="0.0\ &quot;µA&quot;"/>
    <numFmt numFmtId="167" formatCode="0.00\ &quot;mΩ&quot;"/>
    <numFmt numFmtId="168" formatCode="0.00\ &quot; GΩ&quot;"/>
  </numFmts>
  <fonts count="43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8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34"/>
      <scheme val="minor"/>
    </font>
    <font>
      <b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b/>
      <sz val="18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20"/>
      <color theme="1"/>
      <name val="Calibri"/>
      <family val="2"/>
      <scheme val="minor"/>
    </font>
    <font>
      <b/>
      <sz val="2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9.9"/>
      <color theme="1"/>
      <name val="Calibri"/>
      <family val="2"/>
    </font>
    <font>
      <sz val="36"/>
      <color theme="1"/>
      <name val="Calibri"/>
      <family val="2"/>
      <scheme val="minor"/>
    </font>
    <font>
      <b/>
      <sz val="22"/>
      <color rgb="FF000000"/>
      <name val="Calibri"/>
      <family val="2"/>
    </font>
    <font>
      <b/>
      <sz val="22"/>
      <color rgb="FF000000"/>
      <name val="Calibri"/>
      <family val="2"/>
      <scheme val="minor"/>
    </font>
    <font>
      <b/>
      <sz val="28"/>
      <name val="Calibri"/>
      <family val="2"/>
    </font>
    <font>
      <b/>
      <sz val="20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24"/>
      <name val="Calibri"/>
      <family val="2"/>
    </font>
    <font>
      <b/>
      <sz val="24"/>
      <color theme="1"/>
      <name val="Calibri"/>
      <family val="2"/>
    </font>
    <font>
      <sz val="8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6"/>
      <color theme="1"/>
      <name val="Calibri Light"/>
      <family val="2"/>
      <scheme val="major"/>
    </font>
    <font>
      <b/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7" fillId="0" borderId="0"/>
    <xf numFmtId="164" fontId="7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64" fontId="2" fillId="3" borderId="2" xfId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16" fillId="0" borderId="0" xfId="0" applyFont="1"/>
    <xf numFmtId="0" fontId="18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/>
    </xf>
    <xf numFmtId="2" fontId="28" fillId="0" borderId="2" xfId="0" applyNumberFormat="1" applyFont="1" applyBorder="1" applyAlignment="1">
      <alignment horizontal="center"/>
    </xf>
    <xf numFmtId="164" fontId="20" fillId="3" borderId="2" xfId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2" fontId="0" fillId="0" borderId="2" xfId="0" applyNumberFormat="1" applyBorder="1" applyAlignment="1">
      <alignment horizontal="center" vertical="center"/>
    </xf>
    <xf numFmtId="0" fontId="31" fillId="0" borderId="8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2" fillId="2" borderId="8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/>
    </xf>
    <xf numFmtId="49" fontId="15" fillId="0" borderId="2" xfId="2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17" fillId="0" borderId="2" xfId="1" applyFont="1" applyBorder="1" applyAlignment="1">
      <alignment horizontal="center" vertical="center"/>
    </xf>
    <xf numFmtId="164" fontId="17" fillId="0" borderId="2" xfId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22" fontId="0" fillId="0" borderId="0" xfId="0" applyNumberFormat="1"/>
    <xf numFmtId="0" fontId="16" fillId="0" borderId="2" xfId="0" applyFont="1" applyBorder="1" applyAlignment="1">
      <alignment horizontal="center"/>
    </xf>
    <xf numFmtId="165" fontId="41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0" fillId="5" borderId="0" xfId="0" applyFill="1"/>
    <xf numFmtId="166" fontId="23" fillId="0" borderId="2" xfId="0" applyNumberFormat="1" applyFont="1" applyBorder="1" applyAlignment="1">
      <alignment horizontal="center"/>
    </xf>
    <xf numFmtId="167" fontId="23" fillId="0" borderId="2" xfId="0" applyNumberFormat="1" applyFont="1" applyBorder="1" applyAlignment="1">
      <alignment horizontal="center"/>
    </xf>
    <xf numFmtId="168" fontId="23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36" fillId="0" borderId="5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37" fillId="0" borderId="8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left" vertical="center" wrapText="1"/>
    </xf>
    <xf numFmtId="0" fontId="38" fillId="0" borderId="8" xfId="0" applyFont="1" applyBorder="1" applyAlignment="1">
      <alignment vertical="center" wrapText="1"/>
    </xf>
    <xf numFmtId="0" fontId="38" fillId="0" borderId="2" xfId="0" applyFont="1" applyBorder="1" applyAlignment="1">
      <alignment vertical="center" wrapText="1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34" fillId="0" borderId="8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35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center"/>
    </xf>
    <xf numFmtId="0" fontId="27" fillId="0" borderId="2" xfId="0" applyFont="1" applyBorder="1" applyAlignment="1">
      <alignment horizontal="left" vertical="center" wrapText="1"/>
    </xf>
    <xf numFmtId="164" fontId="19" fillId="3" borderId="2" xfId="1" applyFont="1" applyFill="1" applyBorder="1" applyAlignment="1">
      <alignment horizontal="center" vertical="center" wrapText="1"/>
    </xf>
    <xf numFmtId="164" fontId="20" fillId="3" borderId="2" xfId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15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4" xfId="2" xr:uid="{00000000-0005-0000-0000-000002000000}"/>
  </cellStyles>
  <dxfs count="79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F62D-F81B-41E5-94FB-5F988BB388FF}">
  <dimension ref="A1:A57"/>
  <sheetViews>
    <sheetView workbookViewId="0"/>
  </sheetViews>
  <sheetFormatPr defaultRowHeight="14.4"/>
  <cols>
    <col min="1" max="1" width="20.77734375" bestFit="1" customWidth="1"/>
  </cols>
  <sheetData>
    <row r="1" spans="1:1">
      <c r="A1" s="36"/>
    </row>
    <row r="2" spans="1:1">
      <c r="A2" s="36"/>
    </row>
    <row r="3" spans="1:1">
      <c r="A3" s="36"/>
    </row>
    <row r="4" spans="1:1">
      <c r="A4" s="36"/>
    </row>
    <row r="5" spans="1:1">
      <c r="A5" s="36"/>
    </row>
    <row r="6" spans="1:1">
      <c r="A6" s="36"/>
    </row>
    <row r="7" spans="1:1">
      <c r="A7" s="36"/>
    </row>
    <row r="8" spans="1:1">
      <c r="A8" s="36"/>
    </row>
    <row r="9" spans="1:1">
      <c r="A9" s="36"/>
    </row>
    <row r="10" spans="1:1">
      <c r="A10" s="36"/>
    </row>
    <row r="11" spans="1:1">
      <c r="A11" s="36"/>
    </row>
    <row r="12" spans="1:1">
      <c r="A12" s="36"/>
    </row>
    <row r="13" spans="1:1">
      <c r="A13" s="36"/>
    </row>
    <row r="14" spans="1:1">
      <c r="A14" s="36"/>
    </row>
    <row r="15" spans="1:1">
      <c r="A15" s="36"/>
    </row>
    <row r="16" spans="1:1">
      <c r="A16" s="36"/>
    </row>
    <row r="17" spans="1:1">
      <c r="A17" s="36"/>
    </row>
    <row r="18" spans="1:1">
      <c r="A18" s="36"/>
    </row>
    <row r="19" spans="1:1">
      <c r="A19" s="36"/>
    </row>
    <row r="20" spans="1:1">
      <c r="A20" s="36"/>
    </row>
    <row r="21" spans="1:1">
      <c r="A21" s="36"/>
    </row>
    <row r="22" spans="1:1">
      <c r="A22" s="36"/>
    </row>
    <row r="23" spans="1:1">
      <c r="A23" s="36"/>
    </row>
    <row r="24" spans="1:1">
      <c r="A24" s="36"/>
    </row>
    <row r="25" spans="1:1">
      <c r="A25" s="36"/>
    </row>
    <row r="26" spans="1:1">
      <c r="A26" s="36"/>
    </row>
    <row r="27" spans="1:1">
      <c r="A27" s="36"/>
    </row>
    <row r="28" spans="1:1">
      <c r="A28" s="36"/>
    </row>
    <row r="29" spans="1:1">
      <c r="A29" s="36"/>
    </row>
    <row r="30" spans="1:1">
      <c r="A30" s="36"/>
    </row>
    <row r="31" spans="1:1">
      <c r="A31" s="36"/>
    </row>
    <row r="32" spans="1:1">
      <c r="A32" s="36"/>
    </row>
    <row r="33" spans="1:1">
      <c r="A33" s="36"/>
    </row>
    <row r="34" spans="1:1">
      <c r="A34" s="36"/>
    </row>
    <row r="35" spans="1:1">
      <c r="A35" s="36"/>
    </row>
    <row r="36" spans="1:1">
      <c r="A36" s="36"/>
    </row>
    <row r="37" spans="1:1">
      <c r="A37" s="36"/>
    </row>
    <row r="38" spans="1:1">
      <c r="A38" s="36"/>
    </row>
    <row r="39" spans="1:1">
      <c r="A39" s="36"/>
    </row>
    <row r="40" spans="1:1">
      <c r="A40" s="41"/>
    </row>
    <row r="41" spans="1:1">
      <c r="A41" s="36"/>
    </row>
    <row r="42" spans="1:1">
      <c r="A42" s="36"/>
    </row>
    <row r="43" spans="1:1">
      <c r="A43" s="36"/>
    </row>
    <row r="44" spans="1:1">
      <c r="A44" s="36"/>
    </row>
    <row r="45" spans="1:1">
      <c r="A45" s="36"/>
    </row>
    <row r="46" spans="1:1">
      <c r="A46" s="36"/>
    </row>
    <row r="47" spans="1:1">
      <c r="A47" s="36"/>
    </row>
    <row r="48" spans="1:1">
      <c r="A48" s="36"/>
    </row>
    <row r="49" spans="1:1">
      <c r="A49" s="36"/>
    </row>
    <row r="50" spans="1:1">
      <c r="A50" s="36"/>
    </row>
    <row r="51" spans="1:1">
      <c r="A51" s="36"/>
    </row>
    <row r="52" spans="1:1">
      <c r="A52" s="36"/>
    </row>
    <row r="53" spans="1:1">
      <c r="A53" s="36"/>
    </row>
    <row r="54" spans="1:1">
      <c r="A54" s="36"/>
    </row>
    <row r="55" spans="1:1">
      <c r="A55" s="36"/>
    </row>
    <row r="56" spans="1:1">
      <c r="A56" s="36"/>
    </row>
    <row r="57" spans="1:1">
      <c r="A57" s="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823D-3DF8-4572-B7B6-20ED765C4ED4}">
  <sheetPr>
    <pageSetUpPr fitToPage="1"/>
  </sheetPr>
  <dimension ref="A1:S84"/>
  <sheetViews>
    <sheetView topLeftCell="A55" workbookViewId="0">
      <selection activeCell="C76" sqref="C76"/>
    </sheetView>
  </sheetViews>
  <sheetFormatPr defaultRowHeight="14.4"/>
  <cols>
    <col min="1" max="1" width="13.44140625" bestFit="1" customWidth="1"/>
    <col min="2" max="2" width="20.5546875" bestFit="1" customWidth="1"/>
  </cols>
  <sheetData>
    <row r="1" spans="1:19">
      <c r="A1" t="s">
        <v>73</v>
      </c>
      <c r="B1" t="s">
        <v>74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</row>
    <row r="2" spans="1:19">
      <c r="B2" t="s">
        <v>121</v>
      </c>
      <c r="C2">
        <v>637.85217299999999</v>
      </c>
      <c r="D2">
        <v>15.557869999999999</v>
      </c>
      <c r="E2">
        <v>49.157885</v>
      </c>
      <c r="F2">
        <v>14.951708999999999</v>
      </c>
      <c r="G2">
        <v>42.660820999999999</v>
      </c>
      <c r="H2">
        <v>83.402045999999999</v>
      </c>
      <c r="K2">
        <v>23.613765000000001</v>
      </c>
    </row>
    <row r="3" spans="1:19" s="46" customFormat="1">
      <c r="B3" t="s">
        <v>122</v>
      </c>
      <c r="C3">
        <v>632.74663999999996</v>
      </c>
      <c r="D3">
        <v>15.610009</v>
      </c>
      <c r="E3">
        <v>49.076441000000003</v>
      </c>
      <c r="F3">
        <v>14.875613</v>
      </c>
      <c r="G3">
        <v>42.535836000000003</v>
      </c>
      <c r="H3">
        <v>82.594976000000003</v>
      </c>
      <c r="J3"/>
      <c r="K3">
        <v>23.424754</v>
      </c>
      <c r="L3"/>
      <c r="M3"/>
      <c r="N3"/>
      <c r="O3"/>
      <c r="P3"/>
      <c r="Q3"/>
      <c r="R3"/>
      <c r="S3"/>
    </row>
    <row r="4" spans="1:19">
      <c r="B4" t="s">
        <v>123</v>
      </c>
      <c r="C4">
        <v>631.78380300000003</v>
      </c>
      <c r="D4">
        <v>15.586582999999999</v>
      </c>
      <c r="E4">
        <v>48.981368000000003</v>
      </c>
      <c r="F4">
        <v>14.890207</v>
      </c>
      <c r="G4">
        <v>42.429484000000002</v>
      </c>
      <c r="H4">
        <v>82.753556000000003</v>
      </c>
      <c r="K4">
        <v>23.389109000000001</v>
      </c>
    </row>
    <row r="5" spans="1:19">
      <c r="B5" t="s">
        <v>124</v>
      </c>
      <c r="C5">
        <v>633.57748800000002</v>
      </c>
      <c r="D5">
        <v>15.537084</v>
      </c>
      <c r="E5">
        <v>49.058244000000002</v>
      </c>
      <c r="F5">
        <v>14.903184</v>
      </c>
      <c r="G5">
        <v>42.512895</v>
      </c>
      <c r="H5">
        <v>83.122427999999999</v>
      </c>
      <c r="K5">
        <v>23.455511999999999</v>
      </c>
    </row>
    <row r="6" spans="1:19" s="46" customFormat="1">
      <c r="B6" t="s">
        <v>125</v>
      </c>
      <c r="C6">
        <v>634.45861100000002</v>
      </c>
      <c r="D6">
        <v>15.566300999999999</v>
      </c>
      <c r="E6">
        <v>48.976978000000003</v>
      </c>
      <c r="F6">
        <v>14.952973</v>
      </c>
      <c r="G6">
        <v>42.430267000000001</v>
      </c>
      <c r="H6">
        <v>83.219650000000001</v>
      </c>
      <c r="J6"/>
      <c r="K6">
        <v>23.488132</v>
      </c>
      <c r="L6"/>
      <c r="M6"/>
      <c r="N6"/>
      <c r="O6"/>
      <c r="P6"/>
      <c r="Q6"/>
      <c r="R6"/>
      <c r="S6"/>
    </row>
    <row r="7" spans="1:19">
      <c r="B7" t="s">
        <v>126</v>
      </c>
      <c r="C7">
        <v>634.09682499999997</v>
      </c>
      <c r="D7">
        <v>15.573389000000001</v>
      </c>
      <c r="E7">
        <v>49.170610000000003</v>
      </c>
      <c r="F7">
        <v>14.885933</v>
      </c>
      <c r="G7">
        <v>42.597050000000003</v>
      </c>
      <c r="H7">
        <v>82.806960000000004</v>
      </c>
      <c r="K7">
        <v>23.474739</v>
      </c>
    </row>
    <row r="8" spans="1:19">
      <c r="B8" t="s">
        <v>127</v>
      </c>
      <c r="C8">
        <v>633.73309099999994</v>
      </c>
      <c r="D8">
        <v>15.567755</v>
      </c>
      <c r="E8">
        <v>48.953223999999999</v>
      </c>
      <c r="F8">
        <v>14.947519</v>
      </c>
      <c r="G8">
        <v>42.397208999999997</v>
      </c>
      <c r="H8">
        <v>83.157054000000002</v>
      </c>
      <c r="K8">
        <v>23.461272999999998</v>
      </c>
    </row>
    <row r="9" spans="1:19">
      <c r="B9" t="s">
        <v>128</v>
      </c>
      <c r="C9">
        <v>634.73082199999999</v>
      </c>
      <c r="D9">
        <v>15.613946</v>
      </c>
      <c r="E9">
        <v>48.971483999999997</v>
      </c>
      <c r="F9">
        <v>14.933484999999999</v>
      </c>
      <c r="G9">
        <v>42.503864</v>
      </c>
      <c r="H9">
        <v>83.010617999999994</v>
      </c>
      <c r="K9">
        <v>23.49821</v>
      </c>
    </row>
    <row r="10" spans="1:19">
      <c r="B10" t="s">
        <v>129</v>
      </c>
      <c r="C10">
        <v>634.85653200000002</v>
      </c>
      <c r="D10">
        <v>15.608492</v>
      </c>
      <c r="E10">
        <v>49.114812999999998</v>
      </c>
      <c r="F10">
        <v>14.909098999999999</v>
      </c>
      <c r="G10">
        <v>42.581819000000003</v>
      </c>
      <c r="H10">
        <v>82.813692000000003</v>
      </c>
      <c r="K10">
        <v>23.502863999999999</v>
      </c>
    </row>
    <row r="11" spans="1:19">
      <c r="B11" t="s">
        <v>107</v>
      </c>
      <c r="C11">
        <v>631.43805899999995</v>
      </c>
      <c r="D11">
        <v>16.716470999999999</v>
      </c>
      <c r="E11">
        <v>49.193921000000003</v>
      </c>
      <c r="F11">
        <v>15.018725999999999</v>
      </c>
      <c r="G11">
        <v>42.077440000000003</v>
      </c>
      <c r="H11">
        <v>82.284706</v>
      </c>
      <c r="K11">
        <v>23.386309000000001</v>
      </c>
    </row>
    <row r="12" spans="1:19">
      <c r="B12" t="s">
        <v>130</v>
      </c>
      <c r="C12">
        <v>627.99172099999998</v>
      </c>
      <c r="D12">
        <v>15.496879</v>
      </c>
      <c r="E12">
        <v>48.999282000000001</v>
      </c>
      <c r="F12">
        <v>14.931502</v>
      </c>
      <c r="G12">
        <v>42.058174000000001</v>
      </c>
      <c r="H12">
        <v>82.702749999999995</v>
      </c>
      <c r="K12">
        <v>23.248722999999998</v>
      </c>
    </row>
    <row r="13" spans="1:19">
      <c r="B13" t="s">
        <v>131</v>
      </c>
      <c r="C13">
        <v>633.87649999999996</v>
      </c>
      <c r="D13">
        <v>15.535176</v>
      </c>
      <c r="E13">
        <v>49.145088000000001</v>
      </c>
      <c r="F13">
        <v>14.88776</v>
      </c>
      <c r="G13">
        <v>42.577024000000002</v>
      </c>
      <c r="H13">
        <v>83.024900000000002</v>
      </c>
      <c r="K13">
        <v>23.466581999999999</v>
      </c>
    </row>
    <row r="14" spans="1:19">
      <c r="B14" t="s">
        <v>132</v>
      </c>
      <c r="C14">
        <v>632.32687199999998</v>
      </c>
      <c r="D14">
        <v>15.497926</v>
      </c>
      <c r="E14">
        <v>49.240065000000001</v>
      </c>
      <c r="F14">
        <v>14.839783000000001</v>
      </c>
      <c r="G14">
        <v>42.610250999999998</v>
      </c>
      <c r="H14">
        <v>82.860859000000005</v>
      </c>
      <c r="K14">
        <v>23.409213999999999</v>
      </c>
    </row>
    <row r="15" spans="1:19">
      <c r="B15" t="s">
        <v>133</v>
      </c>
      <c r="C15">
        <v>632.285033</v>
      </c>
      <c r="D15">
        <v>15.578703000000001</v>
      </c>
      <c r="E15">
        <v>49.159334999999999</v>
      </c>
      <c r="F15">
        <v>14.842881</v>
      </c>
      <c r="G15">
        <v>42.598537999999998</v>
      </c>
      <c r="H15">
        <v>82.561126999999999</v>
      </c>
      <c r="K15">
        <v>23.407665000000001</v>
      </c>
    </row>
    <row r="16" spans="1:19">
      <c r="B16" t="s">
        <v>134</v>
      </c>
      <c r="C16">
        <v>636.94172100000003</v>
      </c>
      <c r="D16">
        <v>15.613334999999999</v>
      </c>
      <c r="E16">
        <v>48.906311000000002</v>
      </c>
      <c r="F16">
        <v>15.016185999999999</v>
      </c>
      <c r="G16">
        <v>42.417011000000002</v>
      </c>
      <c r="H16">
        <v>83.414034000000001</v>
      </c>
      <c r="K16">
        <v>23.580058999999999</v>
      </c>
    </row>
    <row r="17" spans="2:11">
      <c r="B17" t="s">
        <v>135</v>
      </c>
      <c r="C17">
        <v>632.38315299999999</v>
      </c>
      <c r="D17">
        <v>15.578298999999999</v>
      </c>
      <c r="E17">
        <v>48.992226000000002</v>
      </c>
      <c r="F17">
        <v>14.879049</v>
      </c>
      <c r="G17">
        <v>42.501584000000001</v>
      </c>
      <c r="H17">
        <v>82.857740000000007</v>
      </c>
      <c r="K17">
        <v>23.411297000000001</v>
      </c>
    </row>
    <row r="18" spans="2:11">
      <c r="B18" t="s">
        <v>136</v>
      </c>
      <c r="C18">
        <v>634.23710500000004</v>
      </c>
      <c r="D18">
        <v>15.616673</v>
      </c>
      <c r="E18">
        <v>48.905408000000001</v>
      </c>
      <c r="F18">
        <v>14.943042</v>
      </c>
      <c r="G18">
        <v>42.443641</v>
      </c>
      <c r="H18">
        <v>83.043616999999998</v>
      </c>
      <c r="K18">
        <v>23.479932000000002</v>
      </c>
    </row>
    <row r="19" spans="2:11">
      <c r="B19" t="s">
        <v>137</v>
      </c>
      <c r="C19">
        <v>633.37054899999998</v>
      </c>
      <c r="D19">
        <v>15.576096</v>
      </c>
      <c r="E19">
        <v>49.034668000000003</v>
      </c>
      <c r="F19">
        <v>14.883217999999999</v>
      </c>
      <c r="G19">
        <v>42.556021999999999</v>
      </c>
      <c r="H19">
        <v>82.927009999999996</v>
      </c>
      <c r="K19">
        <v>23.447851</v>
      </c>
    </row>
    <row r="20" spans="2:11">
      <c r="B20" t="s">
        <v>138</v>
      </c>
      <c r="C20">
        <v>631.35000100000002</v>
      </c>
      <c r="D20">
        <v>15.577683</v>
      </c>
      <c r="E20">
        <v>49.021213000000003</v>
      </c>
      <c r="F20">
        <v>14.859078</v>
      </c>
      <c r="G20">
        <v>42.489176</v>
      </c>
      <c r="H20">
        <v>82.676725000000005</v>
      </c>
      <c r="K20">
        <v>23.373049000000002</v>
      </c>
    </row>
    <row r="21" spans="2:11">
      <c r="B21" t="s">
        <v>139</v>
      </c>
      <c r="C21">
        <v>634.29735700000003</v>
      </c>
      <c r="D21">
        <v>15.524888000000001</v>
      </c>
      <c r="E21">
        <v>49.169967999999997</v>
      </c>
      <c r="F21">
        <v>14.903567000000001</v>
      </c>
      <c r="G21">
        <v>42.560102000000001</v>
      </c>
      <c r="H21">
        <v>83.093012000000002</v>
      </c>
      <c r="K21">
        <v>23.482163</v>
      </c>
    </row>
    <row r="22" spans="2:11">
      <c r="B22" t="s">
        <v>140</v>
      </c>
      <c r="C22">
        <v>634.13913400000001</v>
      </c>
      <c r="D22">
        <v>15.540419</v>
      </c>
      <c r="E22">
        <v>49.258966999999998</v>
      </c>
      <c r="F22">
        <v>14.863865000000001</v>
      </c>
      <c r="G22">
        <v>42.663139000000001</v>
      </c>
      <c r="H22">
        <v>82.839318000000006</v>
      </c>
      <c r="K22">
        <v>23.476305</v>
      </c>
    </row>
    <row r="23" spans="2:11">
      <c r="B23" t="s">
        <v>141</v>
      </c>
      <c r="C23">
        <v>632.28506400000003</v>
      </c>
      <c r="D23">
        <v>15.509072</v>
      </c>
      <c r="E23">
        <v>49.162768999999997</v>
      </c>
      <c r="F23">
        <v>14.840396999999999</v>
      </c>
      <c r="G23">
        <v>42.605668999999999</v>
      </c>
      <c r="H23">
        <v>82.926012</v>
      </c>
      <c r="K23">
        <v>23.407665999999999</v>
      </c>
    </row>
    <row r="24" spans="2:11">
      <c r="B24" t="s">
        <v>142</v>
      </c>
      <c r="C24">
        <v>630.97371399999997</v>
      </c>
      <c r="D24">
        <v>15.533014</v>
      </c>
      <c r="E24">
        <v>48.969957999999998</v>
      </c>
      <c r="F24">
        <v>14.86373</v>
      </c>
      <c r="G24">
        <v>42.450564</v>
      </c>
      <c r="H24">
        <v>82.951796000000002</v>
      </c>
      <c r="K24">
        <v>23.359119</v>
      </c>
    </row>
    <row r="25" spans="2:11">
      <c r="B25" t="s">
        <v>143</v>
      </c>
      <c r="C25">
        <v>634.34607700000004</v>
      </c>
      <c r="D25">
        <v>15.560069</v>
      </c>
      <c r="E25">
        <v>49.210507999999997</v>
      </c>
      <c r="F25">
        <v>14.866211</v>
      </c>
      <c r="G25">
        <v>42.670327</v>
      </c>
      <c r="H25">
        <v>82.843204999999998</v>
      </c>
      <c r="K25">
        <v>23.483965999999999</v>
      </c>
    </row>
    <row r="26" spans="2:11">
      <c r="B26" t="s">
        <v>144</v>
      </c>
      <c r="C26">
        <v>637.94883200000004</v>
      </c>
      <c r="D26">
        <v>15.526835</v>
      </c>
      <c r="E26">
        <v>49.110239999999997</v>
      </c>
      <c r="F26">
        <v>14.979741000000001</v>
      </c>
      <c r="G26">
        <v>42.587440000000001</v>
      </c>
      <c r="H26">
        <v>83.662502000000003</v>
      </c>
      <c r="K26">
        <v>23.617343000000002</v>
      </c>
    </row>
    <row r="27" spans="2:11">
      <c r="B27" t="s">
        <v>145</v>
      </c>
      <c r="C27">
        <v>634.22087799999997</v>
      </c>
      <c r="D27">
        <v>15.566774000000001</v>
      </c>
      <c r="E27">
        <v>48.972982999999999</v>
      </c>
      <c r="F27">
        <v>14.937237</v>
      </c>
      <c r="G27">
        <v>42.459049999999998</v>
      </c>
      <c r="H27">
        <v>83.192727000000005</v>
      </c>
      <c r="K27">
        <v>23.479330999999998</v>
      </c>
    </row>
    <row r="28" spans="2:11">
      <c r="B28" t="s">
        <v>146</v>
      </c>
      <c r="C28">
        <v>630.88842</v>
      </c>
      <c r="D28">
        <v>15.571439</v>
      </c>
      <c r="E28">
        <v>48.832286000000003</v>
      </c>
      <c r="F28">
        <v>14.89794</v>
      </c>
      <c r="G28">
        <v>42.347358999999997</v>
      </c>
      <c r="H28">
        <v>82.969170000000005</v>
      </c>
      <c r="K28">
        <v>23.355961000000001</v>
      </c>
    </row>
    <row r="29" spans="2:11">
      <c r="B29" t="s">
        <v>147</v>
      </c>
      <c r="C29">
        <v>632.14372700000001</v>
      </c>
      <c r="D29">
        <v>15.51262</v>
      </c>
      <c r="E29">
        <v>49.142046999999998</v>
      </c>
      <c r="F29">
        <v>14.974574</v>
      </c>
      <c r="G29">
        <v>42.214471000000003</v>
      </c>
      <c r="H29">
        <v>82.923466000000005</v>
      </c>
      <c r="K29">
        <v>23.402434</v>
      </c>
    </row>
    <row r="30" spans="2:11">
      <c r="B30" t="s">
        <v>148</v>
      </c>
      <c r="C30">
        <v>632.14400499999999</v>
      </c>
      <c r="D30">
        <v>15.515378</v>
      </c>
      <c r="E30">
        <v>49.059677000000001</v>
      </c>
      <c r="F30">
        <v>14.883291</v>
      </c>
      <c r="G30">
        <v>42.473402</v>
      </c>
      <c r="H30">
        <v>83.047963999999993</v>
      </c>
      <c r="K30">
        <v>23.402443999999999</v>
      </c>
    </row>
    <row r="31" spans="2:11">
      <c r="B31" t="s">
        <v>149</v>
      </c>
      <c r="C31">
        <v>635.664534</v>
      </c>
      <c r="D31">
        <v>15.557881</v>
      </c>
      <c r="E31">
        <v>49.158394999999999</v>
      </c>
      <c r="F31">
        <v>14.895352000000001</v>
      </c>
      <c r="G31">
        <v>42.675362999999997</v>
      </c>
      <c r="H31">
        <v>83.115082000000001</v>
      </c>
      <c r="K31">
        <v>23.532775999999998</v>
      </c>
    </row>
    <row r="32" spans="2:11">
      <c r="B32" t="s">
        <v>150</v>
      </c>
      <c r="C32">
        <v>631.45349599999997</v>
      </c>
      <c r="D32">
        <v>15.523296</v>
      </c>
      <c r="E32">
        <v>49.096642000000003</v>
      </c>
      <c r="F32">
        <v>14.841651000000001</v>
      </c>
      <c r="G32">
        <v>42.546041000000002</v>
      </c>
      <c r="H32">
        <v>82.852504999999994</v>
      </c>
      <c r="K32">
        <v>23.376881000000001</v>
      </c>
    </row>
    <row r="33" spans="2:19" s="46" customFormat="1">
      <c r="B33" t="s">
        <v>151</v>
      </c>
      <c r="C33">
        <v>630.31501500000002</v>
      </c>
      <c r="D33">
        <v>15.471050999999999</v>
      </c>
      <c r="E33">
        <v>49.083589000000003</v>
      </c>
      <c r="F33">
        <v>14.793234</v>
      </c>
      <c r="G33">
        <v>42.608330000000002</v>
      </c>
      <c r="H33">
        <v>83.004480000000001</v>
      </c>
      <c r="J33"/>
      <c r="K33">
        <v>23.334733</v>
      </c>
      <c r="L33"/>
      <c r="M33"/>
      <c r="N33"/>
      <c r="O33"/>
      <c r="P33"/>
      <c r="Q33"/>
      <c r="R33"/>
      <c r="S33"/>
    </row>
    <row r="34" spans="2:19">
      <c r="B34" t="s">
        <v>152</v>
      </c>
      <c r="C34">
        <v>633.44043999999997</v>
      </c>
      <c r="D34">
        <v>15.512281</v>
      </c>
      <c r="E34">
        <v>49.139000000000003</v>
      </c>
      <c r="F34">
        <v>14.856885</v>
      </c>
      <c r="G34">
        <v>42.636155000000002</v>
      </c>
      <c r="H34">
        <v>83.100533999999996</v>
      </c>
      <c r="K34">
        <v>23.450438999999999</v>
      </c>
    </row>
    <row r="35" spans="2:19">
      <c r="B35" t="s">
        <v>153</v>
      </c>
      <c r="C35">
        <v>631.81248200000005</v>
      </c>
      <c r="D35">
        <v>15.586923000000001</v>
      </c>
      <c r="E35">
        <v>48.915967000000002</v>
      </c>
      <c r="F35">
        <v>14.906036</v>
      </c>
      <c r="G35">
        <v>42.38635</v>
      </c>
      <c r="H35">
        <v>82.866152999999997</v>
      </c>
      <c r="K35">
        <v>23.390170999999999</v>
      </c>
    </row>
    <row r="36" spans="2:19">
      <c r="B36" t="s">
        <v>154</v>
      </c>
      <c r="C36">
        <v>635.35849299999995</v>
      </c>
      <c r="D36">
        <v>15.556683</v>
      </c>
      <c r="E36">
        <v>49.133637</v>
      </c>
      <c r="F36">
        <v>14.907282</v>
      </c>
      <c r="G36">
        <v>42.620679000000003</v>
      </c>
      <c r="H36">
        <v>83.123324999999994</v>
      </c>
      <c r="K36">
        <v>23.521446999999998</v>
      </c>
    </row>
    <row r="37" spans="2:19" s="46" customFormat="1">
      <c r="B37" t="s">
        <v>155</v>
      </c>
      <c r="C37">
        <v>634.29625699999997</v>
      </c>
      <c r="D37">
        <v>15.574999</v>
      </c>
      <c r="E37">
        <v>49.157940000000004</v>
      </c>
      <c r="F37">
        <v>14.898215</v>
      </c>
      <c r="G37">
        <v>42.575319</v>
      </c>
      <c r="H37">
        <v>82.845791000000006</v>
      </c>
      <c r="J37"/>
      <c r="K37">
        <v>23.482122</v>
      </c>
      <c r="L37"/>
      <c r="M37"/>
      <c r="N37"/>
      <c r="O37"/>
      <c r="P37"/>
      <c r="Q37"/>
      <c r="R37"/>
      <c r="S37"/>
    </row>
    <row r="38" spans="2:19">
      <c r="B38" t="s">
        <v>156</v>
      </c>
      <c r="C38">
        <v>631.55559500000004</v>
      </c>
      <c r="D38">
        <v>15.587726</v>
      </c>
      <c r="E38">
        <v>48.850579000000003</v>
      </c>
      <c r="F38">
        <v>14.917184000000001</v>
      </c>
      <c r="G38">
        <v>42.337452999999996</v>
      </c>
      <c r="H38">
        <v>82.939062000000007</v>
      </c>
      <c r="K38">
        <v>23.380659999999999</v>
      </c>
    </row>
    <row r="39" spans="2:19">
      <c r="B39" t="s">
        <v>157</v>
      </c>
      <c r="C39">
        <v>631.41994499999998</v>
      </c>
      <c r="D39">
        <v>15.584028</v>
      </c>
      <c r="E39">
        <v>48.878898999999997</v>
      </c>
      <c r="F39">
        <v>14.896724000000001</v>
      </c>
      <c r="G39">
        <v>42.386496000000001</v>
      </c>
      <c r="H39">
        <v>82.892865999999998</v>
      </c>
      <c r="K39">
        <v>23.375639</v>
      </c>
    </row>
    <row r="40" spans="2:19">
      <c r="B40" t="s">
        <v>158</v>
      </c>
      <c r="C40">
        <v>629.248831</v>
      </c>
      <c r="D40">
        <v>15.581137</v>
      </c>
      <c r="E40">
        <v>48.789462</v>
      </c>
      <c r="F40">
        <v>15.041198</v>
      </c>
      <c r="G40">
        <v>41.83502</v>
      </c>
      <c r="H40">
        <v>82.774626999999995</v>
      </c>
      <c r="K40">
        <v>23.295262000000001</v>
      </c>
    </row>
    <row r="41" spans="2:19">
      <c r="B41" t="s">
        <v>159</v>
      </c>
      <c r="C41">
        <v>637.34569299999998</v>
      </c>
      <c r="D41">
        <v>15.558128</v>
      </c>
      <c r="E41">
        <v>49.210115000000002</v>
      </c>
      <c r="F41">
        <v>14.92625</v>
      </c>
      <c r="G41">
        <v>42.699652999999998</v>
      </c>
      <c r="H41">
        <v>83.245993999999996</v>
      </c>
      <c r="K41">
        <v>23.595013999999999</v>
      </c>
    </row>
    <row r="42" spans="2:19">
      <c r="B42" t="s">
        <v>160</v>
      </c>
      <c r="C42">
        <v>630.52178400000003</v>
      </c>
      <c r="D42">
        <v>15.577845</v>
      </c>
      <c r="E42">
        <v>48.808314000000003</v>
      </c>
      <c r="F42">
        <v>14.902246</v>
      </c>
      <c r="G42">
        <v>42.310521000000001</v>
      </c>
      <c r="H42">
        <v>82.927564000000004</v>
      </c>
      <c r="K42">
        <v>23.342388</v>
      </c>
    </row>
    <row r="43" spans="2:19">
      <c r="B43" t="s">
        <v>161</v>
      </c>
      <c r="C43">
        <v>636.338932</v>
      </c>
      <c r="D43">
        <v>15.587137</v>
      </c>
      <c r="E43">
        <v>49.201779000000002</v>
      </c>
      <c r="F43">
        <v>14.921315</v>
      </c>
      <c r="G43">
        <v>42.646304999999998</v>
      </c>
      <c r="H43">
        <v>82.973865000000004</v>
      </c>
      <c r="K43">
        <v>23.557742999999999</v>
      </c>
    </row>
    <row r="44" spans="2:19">
      <c r="B44" t="s">
        <v>162</v>
      </c>
      <c r="C44">
        <v>632.94123200000001</v>
      </c>
      <c r="D44">
        <v>15.595596</v>
      </c>
      <c r="E44">
        <v>48.885657999999999</v>
      </c>
      <c r="F44">
        <v>14.962353999999999</v>
      </c>
      <c r="G44">
        <v>42.302249000000003</v>
      </c>
      <c r="H44">
        <v>83.019470999999996</v>
      </c>
      <c r="K44">
        <v>23.431958000000002</v>
      </c>
    </row>
    <row r="45" spans="2:19">
      <c r="B45" t="s">
        <v>163</v>
      </c>
      <c r="C45">
        <v>634.36112200000002</v>
      </c>
      <c r="D45">
        <v>15.562749999999999</v>
      </c>
      <c r="E45">
        <v>49.258007999999997</v>
      </c>
      <c r="F45">
        <v>15.010052999999999</v>
      </c>
      <c r="G45">
        <v>42.262416000000002</v>
      </c>
      <c r="H45">
        <v>82.751024000000001</v>
      </c>
      <c r="K45">
        <v>23.484522999999999</v>
      </c>
    </row>
    <row r="46" spans="2:19">
      <c r="B46" t="s">
        <v>164</v>
      </c>
      <c r="C46">
        <v>633.69924800000001</v>
      </c>
      <c r="D46">
        <v>15.555761</v>
      </c>
      <c r="E46">
        <v>49.097084000000002</v>
      </c>
      <c r="F46">
        <v>14.896887</v>
      </c>
      <c r="G46">
        <v>42.539039000000002</v>
      </c>
      <c r="H46">
        <v>82.972893999999997</v>
      </c>
      <c r="K46">
        <v>23.46002</v>
      </c>
    </row>
    <row r="47" spans="2:19">
      <c r="B47" t="s">
        <v>165</v>
      </c>
      <c r="C47">
        <v>628.71332700000005</v>
      </c>
      <c r="D47">
        <v>15.498348999999999</v>
      </c>
      <c r="E47">
        <v>49.164954999999999</v>
      </c>
      <c r="F47">
        <v>14.78641</v>
      </c>
      <c r="G47">
        <v>42.519672999999997</v>
      </c>
      <c r="H47">
        <v>82.510951000000006</v>
      </c>
      <c r="K47">
        <v>23.275438000000001</v>
      </c>
    </row>
    <row r="48" spans="2:19">
      <c r="B48" t="s">
        <v>166</v>
      </c>
      <c r="C48">
        <v>627.36485300000004</v>
      </c>
      <c r="D48">
        <v>16.692682999999999</v>
      </c>
      <c r="E48">
        <v>49.120776999999997</v>
      </c>
      <c r="F48">
        <v>15.644245</v>
      </c>
      <c r="G48">
        <v>40.125801000000003</v>
      </c>
      <c r="H48">
        <v>76.511870999999999</v>
      </c>
      <c r="K48">
        <v>23.225515999999999</v>
      </c>
    </row>
    <row r="49" spans="2:11">
      <c r="B49" t="s">
        <v>167</v>
      </c>
      <c r="C49">
        <v>636.91701499999999</v>
      </c>
      <c r="D49">
        <v>15.648448</v>
      </c>
      <c r="E49">
        <v>49.136704999999999</v>
      </c>
      <c r="F49">
        <v>14.940243000000001</v>
      </c>
      <c r="G49">
        <v>42.630968000000003</v>
      </c>
      <c r="H49">
        <v>82.833412999999993</v>
      </c>
      <c r="K49">
        <v>23.579143999999999</v>
      </c>
    </row>
    <row r="50" spans="2:11">
      <c r="B50" t="s">
        <v>168</v>
      </c>
      <c r="C50">
        <v>631.75201200000004</v>
      </c>
      <c r="D50">
        <v>15.585974</v>
      </c>
      <c r="E50">
        <v>48.861226000000002</v>
      </c>
      <c r="F50">
        <v>14.889986</v>
      </c>
      <c r="G50">
        <v>42.427979999999998</v>
      </c>
      <c r="H50">
        <v>82.956098999999995</v>
      </c>
      <c r="K50">
        <v>23.387931999999999</v>
      </c>
    </row>
    <row r="51" spans="2:11">
      <c r="B51" t="s">
        <v>169</v>
      </c>
      <c r="C51">
        <v>628.25768200000005</v>
      </c>
      <c r="D51">
        <v>15.567078</v>
      </c>
      <c r="E51">
        <v>49.082943999999998</v>
      </c>
      <c r="F51">
        <v>14.93181</v>
      </c>
      <c r="G51">
        <v>42.075119999999998</v>
      </c>
      <c r="H51">
        <v>82.224286000000006</v>
      </c>
      <c r="K51">
        <v>23.258569000000001</v>
      </c>
    </row>
    <row r="52" spans="2:11">
      <c r="B52" t="s">
        <v>170</v>
      </c>
      <c r="C52">
        <v>628.25490200000002</v>
      </c>
      <c r="D52">
        <v>15.571465</v>
      </c>
      <c r="E52">
        <v>48.868067000000003</v>
      </c>
      <c r="F52">
        <v>15.027538</v>
      </c>
      <c r="G52">
        <v>41.806908999999997</v>
      </c>
      <c r="H52">
        <v>82.562197999999995</v>
      </c>
      <c r="K52">
        <v>23.258465999999999</v>
      </c>
    </row>
    <row r="53" spans="2:11">
      <c r="B53" t="s">
        <v>171</v>
      </c>
      <c r="C53">
        <v>634.42131700000004</v>
      </c>
      <c r="D53">
        <v>15.546124000000001</v>
      </c>
      <c r="E53">
        <v>49.246538999999999</v>
      </c>
      <c r="F53">
        <v>15.010757</v>
      </c>
      <c r="G53">
        <v>42.264445000000002</v>
      </c>
      <c r="H53">
        <v>82.866677999999993</v>
      </c>
      <c r="K53">
        <v>23.486751999999999</v>
      </c>
    </row>
    <row r="54" spans="2:11">
      <c r="B54" t="s">
        <v>172</v>
      </c>
      <c r="C54">
        <v>633.19997100000001</v>
      </c>
      <c r="D54">
        <v>15.565227</v>
      </c>
      <c r="E54">
        <v>49.093113000000002</v>
      </c>
      <c r="F54">
        <v>14.878818000000001</v>
      </c>
      <c r="G54">
        <v>42.557143000000003</v>
      </c>
      <c r="H54">
        <v>82.863802000000007</v>
      </c>
      <c r="K54">
        <v>23.441535999999999</v>
      </c>
    </row>
    <row r="55" spans="2:11">
      <c r="B55" t="s">
        <v>173</v>
      </c>
      <c r="C55">
        <v>628.12201300000004</v>
      </c>
      <c r="D55">
        <v>15.531561</v>
      </c>
      <c r="E55">
        <v>49.082718999999997</v>
      </c>
      <c r="F55">
        <v>14.945834</v>
      </c>
      <c r="G55">
        <v>42.026561999999998</v>
      </c>
      <c r="H55">
        <v>82.394892999999996</v>
      </c>
      <c r="K55">
        <v>23.253547000000001</v>
      </c>
    </row>
    <row r="56" spans="2:11">
      <c r="B56" t="s">
        <v>174</v>
      </c>
      <c r="C56">
        <v>628.82523200000003</v>
      </c>
      <c r="D56">
        <v>15.556101999999999</v>
      </c>
      <c r="E56">
        <v>48.822561</v>
      </c>
      <c r="F56">
        <v>14.841946999999999</v>
      </c>
      <c r="G56">
        <v>42.368107999999999</v>
      </c>
      <c r="H56">
        <v>82.795860000000005</v>
      </c>
      <c r="K56">
        <v>23.279579999999999</v>
      </c>
    </row>
    <row r="57" spans="2:11">
      <c r="B57" t="s">
        <v>175</v>
      </c>
      <c r="C57">
        <v>634.25905699999998</v>
      </c>
      <c r="D57">
        <v>15.626789</v>
      </c>
      <c r="E57">
        <v>49.168899000000003</v>
      </c>
      <c r="F57">
        <v>14.874969999999999</v>
      </c>
      <c r="G57">
        <v>42.639349000000003</v>
      </c>
      <c r="H57">
        <v>82.547980999999993</v>
      </c>
      <c r="K57">
        <v>23.480744999999999</v>
      </c>
    </row>
    <row r="58" spans="2:11">
      <c r="B58" t="s">
        <v>176</v>
      </c>
      <c r="C58">
        <v>630.61176799999998</v>
      </c>
      <c r="D58">
        <v>15.546277999999999</v>
      </c>
      <c r="E58">
        <v>49.156396000000001</v>
      </c>
      <c r="F58">
        <v>14.952704000000001</v>
      </c>
      <c r="G58">
        <v>42.173760999999999</v>
      </c>
      <c r="H58">
        <v>82.519312999999997</v>
      </c>
      <c r="K58">
        <v>23.345718999999999</v>
      </c>
    </row>
    <row r="59" spans="2:11">
      <c r="B59" t="s">
        <v>177</v>
      </c>
      <c r="C59">
        <v>633.04235100000005</v>
      </c>
      <c r="D59">
        <v>15.540846</v>
      </c>
      <c r="E59">
        <v>49.261383000000002</v>
      </c>
      <c r="F59">
        <v>14.849570999999999</v>
      </c>
      <c r="G59">
        <v>42.630344999999998</v>
      </c>
      <c r="H59">
        <v>82.689715000000007</v>
      </c>
      <c r="K59">
        <v>23.435701000000002</v>
      </c>
    </row>
    <row r="60" spans="2:11">
      <c r="B60" t="s">
        <v>178</v>
      </c>
      <c r="C60">
        <v>636.70469100000003</v>
      </c>
      <c r="D60">
        <v>15.569355</v>
      </c>
      <c r="E60">
        <v>49.256343999999999</v>
      </c>
      <c r="F60">
        <v>14.934013999999999</v>
      </c>
      <c r="G60">
        <v>42.634532</v>
      </c>
      <c r="H60">
        <v>83.024305999999996</v>
      </c>
      <c r="K60">
        <v>23.571283999999999</v>
      </c>
    </row>
    <row r="61" spans="2:11">
      <c r="B61" t="s">
        <v>179</v>
      </c>
      <c r="C61">
        <v>634.11221999999998</v>
      </c>
      <c r="D61">
        <v>15.584599000000001</v>
      </c>
      <c r="E61">
        <v>49.176873000000001</v>
      </c>
      <c r="F61">
        <v>14.868994000000001</v>
      </c>
      <c r="G61">
        <v>42.646611999999998</v>
      </c>
      <c r="H61">
        <v>82.738868999999994</v>
      </c>
      <c r="K61">
        <v>23.475308999999999</v>
      </c>
    </row>
    <row r="62" spans="2:11">
      <c r="B62" s="32" t="s">
        <v>180</v>
      </c>
      <c r="C62">
        <v>630.77750500000002</v>
      </c>
      <c r="D62">
        <v>15.560415000000001</v>
      </c>
      <c r="E62">
        <v>49.054234999999998</v>
      </c>
      <c r="F62">
        <v>14.992727</v>
      </c>
      <c r="G62">
        <v>42.072234000000002</v>
      </c>
      <c r="H62">
        <v>82.637754999999999</v>
      </c>
      <c r="K62">
        <v>23.351855</v>
      </c>
    </row>
    <row r="63" spans="2:11">
      <c r="B63" t="s">
        <v>181</v>
      </c>
      <c r="C63">
        <v>636.504639</v>
      </c>
      <c r="D63">
        <v>15.600538999999999</v>
      </c>
      <c r="E63">
        <v>49.226053999999998</v>
      </c>
      <c r="F63">
        <v>14.900392999999999</v>
      </c>
      <c r="G63">
        <v>42.717306000000001</v>
      </c>
      <c r="H63">
        <v>82.883285999999998</v>
      </c>
      <c r="K63">
        <v>23.563877999999999</v>
      </c>
    </row>
    <row r="64" spans="2:11">
      <c r="B64" t="s">
        <v>182</v>
      </c>
      <c r="C64">
        <v>637.53510300000005</v>
      </c>
      <c r="D64">
        <v>15.543818999999999</v>
      </c>
      <c r="E64">
        <v>49.216656</v>
      </c>
      <c r="F64">
        <v>14.951005</v>
      </c>
      <c r="G64">
        <v>42.641621999999998</v>
      </c>
      <c r="H64">
        <v>83.336310999999995</v>
      </c>
      <c r="K64">
        <v>23.602025999999999</v>
      </c>
    </row>
    <row r="65" spans="1:19">
      <c r="A65" s="42">
        <v>46029.554166666669</v>
      </c>
      <c r="B65" t="s">
        <v>120</v>
      </c>
      <c r="C65">
        <v>627.31350899999995</v>
      </c>
      <c r="D65">
        <v>15.653639</v>
      </c>
      <c r="E65">
        <v>49.108857999999998</v>
      </c>
      <c r="F65">
        <v>14.945572</v>
      </c>
      <c r="G65">
        <v>41.973201000000003</v>
      </c>
      <c r="H65">
        <v>81.603629999999995</v>
      </c>
      <c r="I65">
        <v>0.37623099999999998</v>
      </c>
      <c r="J65">
        <v>554.66754800000001</v>
      </c>
      <c r="K65">
        <v>23.223614999999999</v>
      </c>
      <c r="L65">
        <v>21.4</v>
      </c>
      <c r="M65">
        <v>25</v>
      </c>
      <c r="N65">
        <v>2</v>
      </c>
      <c r="O65">
        <v>30</v>
      </c>
      <c r="P65">
        <v>992.23037599999998</v>
      </c>
      <c r="Q65">
        <v>0.13839779999999999</v>
      </c>
      <c r="R65">
        <v>22.408567999999999</v>
      </c>
      <c r="S65">
        <v>22.4375</v>
      </c>
    </row>
    <row r="66" spans="1:19">
      <c r="A66" s="42">
        <v>46029.563194444447</v>
      </c>
      <c r="B66" t="s">
        <v>118</v>
      </c>
      <c r="C66">
        <v>626.61762899999997</v>
      </c>
      <c r="D66">
        <v>15.620760000000001</v>
      </c>
      <c r="E66">
        <v>49.159261000000001</v>
      </c>
      <c r="F66">
        <v>14.901529</v>
      </c>
      <c r="G66">
        <v>42.050558000000002</v>
      </c>
      <c r="H66">
        <v>81.600928999999994</v>
      </c>
      <c r="I66">
        <v>0.37258200000000002</v>
      </c>
      <c r="J66">
        <v>376.79618900000003</v>
      </c>
      <c r="K66">
        <v>23.197852999999999</v>
      </c>
      <c r="L66">
        <v>21.46</v>
      </c>
      <c r="M66">
        <v>25</v>
      </c>
      <c r="N66">
        <v>2</v>
      </c>
      <c r="O66">
        <v>30</v>
      </c>
      <c r="P66">
        <v>992.30393600000002</v>
      </c>
      <c r="Q66">
        <v>0.138408</v>
      </c>
      <c r="R66">
        <v>22.315375</v>
      </c>
      <c r="S66">
        <v>22.4375</v>
      </c>
    </row>
    <row r="67" spans="1:19">
      <c r="A67" s="42">
        <v>46029.717361111114</v>
      </c>
      <c r="B67" t="s">
        <v>119</v>
      </c>
      <c r="C67">
        <v>632.10565199999996</v>
      </c>
      <c r="D67">
        <v>15.593859</v>
      </c>
      <c r="E67">
        <v>49.368654999999997</v>
      </c>
      <c r="F67">
        <v>14.946992</v>
      </c>
      <c r="G67">
        <v>42.289822000000001</v>
      </c>
      <c r="H67">
        <v>82.107867999999996</v>
      </c>
      <c r="I67">
        <v>0.38522400000000001</v>
      </c>
      <c r="J67">
        <v>347.14510899999999</v>
      </c>
      <c r="K67">
        <v>23.401024</v>
      </c>
      <c r="L67">
        <v>23.02</v>
      </c>
      <c r="M67">
        <v>25</v>
      </c>
      <c r="N67">
        <v>2</v>
      </c>
      <c r="O67">
        <v>30</v>
      </c>
      <c r="P67">
        <v>991.90445299999999</v>
      </c>
      <c r="Q67">
        <v>0.1383528</v>
      </c>
      <c r="R67">
        <v>22.812370999999999</v>
      </c>
      <c r="S67">
        <v>22.9375</v>
      </c>
    </row>
    <row r="68" spans="1:19">
      <c r="A68" s="42">
        <v>46029.717361111114</v>
      </c>
      <c r="B68" t="s">
        <v>111</v>
      </c>
      <c r="C68">
        <v>633.82403999999997</v>
      </c>
      <c r="D68">
        <v>15.572481</v>
      </c>
      <c r="E68">
        <v>49.132060000000003</v>
      </c>
      <c r="F68">
        <v>14.900054000000001</v>
      </c>
      <c r="G68">
        <v>42.538370999999998</v>
      </c>
      <c r="H68">
        <v>82.841115000000002</v>
      </c>
      <c r="I68">
        <v>0.37420500000000001</v>
      </c>
      <c r="J68">
        <v>481.60718700000001</v>
      </c>
      <c r="K68">
        <v>23.464639999999999</v>
      </c>
      <c r="L68">
        <v>23.04</v>
      </c>
      <c r="M68">
        <v>25</v>
      </c>
      <c r="N68">
        <v>2</v>
      </c>
      <c r="O68">
        <v>30</v>
      </c>
      <c r="P68">
        <v>991.93183199999999</v>
      </c>
      <c r="Q68">
        <v>0.1383566</v>
      </c>
      <c r="R68">
        <v>22.812370999999999</v>
      </c>
      <c r="S68">
        <v>22.9375</v>
      </c>
    </row>
    <row r="69" spans="1:19">
      <c r="A69" s="42">
        <v>46029.71875</v>
      </c>
      <c r="B69" t="s">
        <v>112</v>
      </c>
      <c r="C69">
        <v>633.39291000000003</v>
      </c>
      <c r="D69">
        <v>15.592299000000001</v>
      </c>
      <c r="E69">
        <v>49.146450999999999</v>
      </c>
      <c r="F69">
        <v>14.878658</v>
      </c>
      <c r="G69">
        <v>42.570568000000002</v>
      </c>
      <c r="H69">
        <v>82.655337000000003</v>
      </c>
      <c r="I69">
        <v>0.37290499999999999</v>
      </c>
      <c r="J69">
        <v>292.512585</v>
      </c>
      <c r="K69">
        <v>23.448678999999998</v>
      </c>
      <c r="L69">
        <v>23.05</v>
      </c>
      <c r="M69">
        <v>25</v>
      </c>
      <c r="N69">
        <v>2</v>
      </c>
      <c r="O69">
        <v>30</v>
      </c>
      <c r="P69">
        <v>991.97016299999996</v>
      </c>
      <c r="Q69">
        <v>0.13836200000000001</v>
      </c>
      <c r="R69">
        <v>22.812370999999999</v>
      </c>
      <c r="S69">
        <v>22.9375</v>
      </c>
    </row>
    <row r="70" spans="1:19">
      <c r="A70" s="42">
        <v>46029.719444444447</v>
      </c>
      <c r="B70" t="s">
        <v>114</v>
      </c>
      <c r="C70">
        <v>633.41967899999997</v>
      </c>
      <c r="D70">
        <v>15.621278999999999</v>
      </c>
      <c r="E70">
        <v>49.142888999999997</v>
      </c>
      <c r="F70">
        <v>15.054069999999999</v>
      </c>
      <c r="G70">
        <v>42.076307</v>
      </c>
      <c r="H70">
        <v>82.511460999999997</v>
      </c>
      <c r="I70">
        <v>0.37226599999999999</v>
      </c>
      <c r="J70">
        <v>192.484814</v>
      </c>
      <c r="K70">
        <v>23.449670000000001</v>
      </c>
      <c r="L70">
        <v>23.07</v>
      </c>
      <c r="M70">
        <v>25</v>
      </c>
      <c r="N70">
        <v>3</v>
      </c>
      <c r="O70">
        <v>30</v>
      </c>
      <c r="P70">
        <v>991.88359000000003</v>
      </c>
      <c r="Q70">
        <v>0.1383499</v>
      </c>
      <c r="R70">
        <v>22.843430999999999</v>
      </c>
      <c r="S70">
        <v>22.9375</v>
      </c>
    </row>
    <row r="71" spans="1:19">
      <c r="A71" s="42">
        <v>46029.720138888886</v>
      </c>
      <c r="B71" t="s">
        <v>113</v>
      </c>
      <c r="C71">
        <v>633.540167</v>
      </c>
      <c r="D71">
        <v>15.550670999999999</v>
      </c>
      <c r="E71">
        <v>49.139178999999999</v>
      </c>
      <c r="F71">
        <v>14.891914999999999</v>
      </c>
      <c r="G71">
        <v>42.542558</v>
      </c>
      <c r="H71">
        <v>82.908128000000005</v>
      </c>
      <c r="I71">
        <v>0.371415</v>
      </c>
      <c r="J71">
        <v>575.67690400000004</v>
      </c>
      <c r="K71">
        <v>23.454131</v>
      </c>
      <c r="L71">
        <v>23.04</v>
      </c>
      <c r="M71">
        <v>25</v>
      </c>
      <c r="N71">
        <v>2</v>
      </c>
      <c r="O71">
        <v>30</v>
      </c>
      <c r="P71">
        <v>991.90914299999997</v>
      </c>
      <c r="Q71">
        <v>0.13835349999999999</v>
      </c>
      <c r="R71">
        <v>22.843430999999999</v>
      </c>
      <c r="S71">
        <v>23</v>
      </c>
    </row>
    <row r="72" spans="1:19">
      <c r="A72" s="42">
        <v>46029.72152777778</v>
      </c>
      <c r="B72" t="s">
        <v>117</v>
      </c>
      <c r="C72">
        <v>637.20377499999995</v>
      </c>
      <c r="D72">
        <v>15.585502999999999</v>
      </c>
      <c r="E72">
        <v>49.285431000000003</v>
      </c>
      <c r="F72">
        <v>14.933111999999999</v>
      </c>
      <c r="G72">
        <v>42.670529000000002</v>
      </c>
      <c r="H72">
        <v>82.954312999999999</v>
      </c>
      <c r="I72">
        <v>0.37060599999999999</v>
      </c>
      <c r="J72">
        <v>534.35259299999996</v>
      </c>
      <c r="K72">
        <v>23.589759999999998</v>
      </c>
      <c r="L72">
        <v>22.97</v>
      </c>
      <c r="M72">
        <v>25</v>
      </c>
      <c r="N72">
        <v>2</v>
      </c>
      <c r="O72">
        <v>30</v>
      </c>
      <c r="P72">
        <v>991.90445299999999</v>
      </c>
      <c r="Q72">
        <v>0.1383528</v>
      </c>
      <c r="R72">
        <v>22.812370999999999</v>
      </c>
      <c r="S72">
        <v>23</v>
      </c>
    </row>
    <row r="73" spans="1:19">
      <c r="A73" s="42">
        <v>46029.722222222219</v>
      </c>
      <c r="B73" t="s">
        <v>118</v>
      </c>
      <c r="C73">
        <v>634.253826</v>
      </c>
      <c r="D73">
        <v>15.571737000000001</v>
      </c>
      <c r="E73">
        <v>49.288794000000003</v>
      </c>
      <c r="F73">
        <v>14.854082</v>
      </c>
      <c r="G73">
        <v>42.69896</v>
      </c>
      <c r="H73">
        <v>82.637629000000004</v>
      </c>
      <c r="I73">
        <v>0.36815100000000001</v>
      </c>
      <c r="J73">
        <v>366.40641099999999</v>
      </c>
      <c r="K73">
        <v>23.480550999999998</v>
      </c>
      <c r="L73">
        <v>23.04</v>
      </c>
      <c r="M73">
        <v>25</v>
      </c>
      <c r="N73">
        <v>1</v>
      </c>
      <c r="O73">
        <v>30</v>
      </c>
      <c r="P73">
        <v>991.92088000000001</v>
      </c>
      <c r="Q73">
        <v>0.13835510000000001</v>
      </c>
      <c r="R73">
        <v>22.812370999999999</v>
      </c>
      <c r="S73">
        <v>23</v>
      </c>
    </row>
    <row r="74" spans="1:19">
      <c r="A74" s="42">
        <v>46029.722916666666</v>
      </c>
      <c r="B74" t="s">
        <v>109</v>
      </c>
      <c r="C74">
        <v>632.99952099999996</v>
      </c>
      <c r="D74">
        <v>15.621674000000001</v>
      </c>
      <c r="E74">
        <v>49.148636000000003</v>
      </c>
      <c r="F74">
        <v>15.026922000000001</v>
      </c>
      <c r="G74">
        <v>42.124364</v>
      </c>
      <c r="H74">
        <v>82.445003999999997</v>
      </c>
      <c r="I74">
        <v>0.37588500000000002</v>
      </c>
      <c r="J74">
        <v>234.78027900000001</v>
      </c>
      <c r="K74">
        <v>23.434116</v>
      </c>
      <c r="L74">
        <v>23.05</v>
      </c>
      <c r="M74">
        <v>25</v>
      </c>
      <c r="N74">
        <v>3</v>
      </c>
      <c r="O74">
        <v>30</v>
      </c>
      <c r="P74">
        <v>991.92635600000006</v>
      </c>
      <c r="Q74">
        <v>0.1383559</v>
      </c>
      <c r="R74">
        <v>22.812370999999999</v>
      </c>
      <c r="S74">
        <v>23</v>
      </c>
    </row>
    <row r="75" spans="1:19">
      <c r="A75" s="42">
        <v>46029.727083333331</v>
      </c>
      <c r="B75" t="s">
        <v>110</v>
      </c>
      <c r="C75">
        <v>634.07593599999996</v>
      </c>
      <c r="D75">
        <v>15.670211</v>
      </c>
      <c r="E75">
        <v>49.175786000000002</v>
      </c>
      <c r="F75">
        <v>15.039123999999999</v>
      </c>
      <c r="G75">
        <v>42.161759000000004</v>
      </c>
      <c r="H75">
        <v>82.283945000000003</v>
      </c>
      <c r="I75">
        <v>0.37535400000000002</v>
      </c>
      <c r="J75">
        <v>261.86410999999998</v>
      </c>
      <c r="K75">
        <v>23.380444000000001</v>
      </c>
      <c r="L75">
        <v>23.09</v>
      </c>
      <c r="M75">
        <v>25</v>
      </c>
      <c r="N75">
        <v>3</v>
      </c>
      <c r="O75">
        <v>30</v>
      </c>
      <c r="P75">
        <v>995.92915800000003</v>
      </c>
      <c r="Q75">
        <v>0.13891419999999999</v>
      </c>
      <c r="R75">
        <v>22.812370999999999</v>
      </c>
      <c r="S75">
        <v>23</v>
      </c>
    </row>
    <row r="76" spans="1:19">
      <c r="A76" s="42"/>
    </row>
    <row r="77" spans="1:19">
      <c r="A77" s="42">
        <v>46029</v>
      </c>
      <c r="B77" t="s">
        <v>108</v>
      </c>
      <c r="C77">
        <v>632.19763999999998</v>
      </c>
      <c r="D77">
        <v>16.640719000000001</v>
      </c>
      <c r="E77">
        <v>49.145668000000001</v>
      </c>
      <c r="F77">
        <v>15.986503000000001</v>
      </c>
      <c r="G77">
        <v>39.545712000000002</v>
      </c>
      <c r="H77">
        <v>77.302854999999994</v>
      </c>
      <c r="I77">
        <v>0.37965700000000002</v>
      </c>
      <c r="J77">
        <v>533.385131</v>
      </c>
      <c r="K77">
        <v>23.404429</v>
      </c>
      <c r="L77">
        <v>23.73</v>
      </c>
      <c r="M77">
        <v>25</v>
      </c>
      <c r="N77">
        <v>3</v>
      </c>
      <c r="O77">
        <v>30</v>
      </c>
      <c r="P77">
        <v>1006.958375</v>
      </c>
      <c r="Q77">
        <v>0.1384165</v>
      </c>
      <c r="R77">
        <v>22.874490999999999</v>
      </c>
      <c r="S77">
        <v>22.5625</v>
      </c>
    </row>
    <row r="78" spans="1:19">
      <c r="A78" s="42">
        <v>46029</v>
      </c>
      <c r="B78" t="s">
        <v>115</v>
      </c>
      <c r="C78">
        <v>632.679528</v>
      </c>
      <c r="D78">
        <v>16.747433999999998</v>
      </c>
      <c r="E78">
        <v>49.080992000000002</v>
      </c>
      <c r="F78">
        <v>16.033463999999999</v>
      </c>
      <c r="G78">
        <v>39.459941000000001</v>
      </c>
      <c r="H78">
        <v>76.970122000000003</v>
      </c>
      <c r="I78">
        <v>0.37485400000000002</v>
      </c>
      <c r="J78">
        <v>202.77514500000001</v>
      </c>
      <c r="K78">
        <v>23.422269</v>
      </c>
      <c r="L78">
        <v>23.82</v>
      </c>
      <c r="M78">
        <v>25</v>
      </c>
      <c r="N78">
        <v>4</v>
      </c>
      <c r="O78">
        <v>30</v>
      </c>
      <c r="P78">
        <v>1006.938002</v>
      </c>
      <c r="Q78">
        <v>0.1384137</v>
      </c>
      <c r="R78">
        <v>22.874490999999999</v>
      </c>
      <c r="S78">
        <v>22.5625</v>
      </c>
    </row>
    <row r="79" spans="1:19">
      <c r="A79" s="42">
        <v>46029</v>
      </c>
      <c r="B79" t="s">
        <v>116</v>
      </c>
      <c r="C79">
        <v>634.29745200000002</v>
      </c>
      <c r="D79">
        <v>16.698293</v>
      </c>
      <c r="E79">
        <v>49.241427999999999</v>
      </c>
      <c r="F79">
        <v>16.016220000000001</v>
      </c>
      <c r="G79">
        <v>39.603442999999999</v>
      </c>
      <c r="H79">
        <v>77.141887999999994</v>
      </c>
      <c r="I79">
        <v>0.37958900000000001</v>
      </c>
      <c r="J79">
        <v>270.34546999999998</v>
      </c>
      <c r="K79">
        <v>23.482165999999999</v>
      </c>
      <c r="L79">
        <v>23.63</v>
      </c>
      <c r="M79">
        <v>25</v>
      </c>
      <c r="N79">
        <v>4</v>
      </c>
      <c r="O79">
        <v>30</v>
      </c>
      <c r="P79">
        <v>1006.946458</v>
      </c>
      <c r="Q79">
        <v>0.13841490000000001</v>
      </c>
      <c r="R79">
        <v>22.905550000000002</v>
      </c>
      <c r="S79">
        <v>22.625</v>
      </c>
    </row>
    <row r="80" spans="1:19">
      <c r="A80" s="42">
        <v>46029.001388888886</v>
      </c>
      <c r="B80" t="s">
        <v>119</v>
      </c>
      <c r="C80">
        <v>634.15179899999998</v>
      </c>
      <c r="D80">
        <v>16.724509999999999</v>
      </c>
      <c r="E80">
        <v>49.194065000000002</v>
      </c>
      <c r="F80">
        <v>15.851405</v>
      </c>
      <c r="G80">
        <v>40.006031999999998</v>
      </c>
      <c r="H80">
        <v>77.077411999999995</v>
      </c>
      <c r="I80">
        <v>0.37610199999999999</v>
      </c>
      <c r="J80">
        <v>180.258353</v>
      </c>
      <c r="K80">
        <v>23.476773999999999</v>
      </c>
      <c r="L80">
        <v>23.55</v>
      </c>
      <c r="M80">
        <v>25</v>
      </c>
      <c r="N80">
        <v>3</v>
      </c>
      <c r="O80">
        <v>30</v>
      </c>
      <c r="P80">
        <v>1007.000167</v>
      </c>
      <c r="Q80">
        <v>0.1384222</v>
      </c>
      <c r="R80">
        <v>22.905550000000002</v>
      </c>
      <c r="S80">
        <v>22.625</v>
      </c>
    </row>
    <row r="81" spans="1:19">
      <c r="A81" s="42">
        <v>46029.002083333333</v>
      </c>
      <c r="B81" t="s">
        <v>183</v>
      </c>
      <c r="C81">
        <v>630.99165000000005</v>
      </c>
      <c r="D81">
        <v>16.681355</v>
      </c>
      <c r="E81">
        <v>49.103301000000002</v>
      </c>
      <c r="F81">
        <v>15.999639999999999</v>
      </c>
      <c r="G81">
        <v>39.437866999999997</v>
      </c>
      <c r="H81">
        <v>77.033851999999996</v>
      </c>
      <c r="I81">
        <v>0.38056200000000001</v>
      </c>
      <c r="J81">
        <v>292.97854100000001</v>
      </c>
      <c r="K81">
        <v>23.359783</v>
      </c>
      <c r="L81">
        <v>23.69</v>
      </c>
      <c r="M81">
        <v>25</v>
      </c>
      <c r="N81">
        <v>3</v>
      </c>
      <c r="O81">
        <v>30</v>
      </c>
      <c r="P81">
        <v>1006.920529</v>
      </c>
      <c r="Q81">
        <v>0.13841129999999999</v>
      </c>
      <c r="R81">
        <v>22.905550000000002</v>
      </c>
      <c r="S81">
        <v>22.625</v>
      </c>
    </row>
    <row r="82" spans="1:19">
      <c r="A82" s="42">
        <v>46029.00277777778</v>
      </c>
      <c r="B82" t="s">
        <v>184</v>
      </c>
      <c r="C82">
        <v>633.88260000000002</v>
      </c>
      <c r="D82">
        <v>16.656593000000001</v>
      </c>
      <c r="E82">
        <v>49.18741</v>
      </c>
      <c r="F82">
        <v>15.998513000000001</v>
      </c>
      <c r="G82">
        <v>39.621344999999998</v>
      </c>
      <c r="H82">
        <v>77.369304</v>
      </c>
      <c r="I82">
        <v>0.37723699999999999</v>
      </c>
      <c r="J82">
        <v>515.98125700000003</v>
      </c>
      <c r="K82">
        <v>23.466808</v>
      </c>
      <c r="L82">
        <v>24.33</v>
      </c>
      <c r="M82">
        <v>25</v>
      </c>
      <c r="N82">
        <v>3</v>
      </c>
      <c r="O82">
        <v>30</v>
      </c>
      <c r="P82">
        <v>1006.936393</v>
      </c>
      <c r="Q82">
        <v>0.13841349999999999</v>
      </c>
      <c r="R82">
        <v>22.936609000000001</v>
      </c>
      <c r="S82">
        <v>22.6875</v>
      </c>
    </row>
    <row r="83" spans="1:19">
      <c r="A83" s="42">
        <v>46029.00277777778</v>
      </c>
      <c r="B83" t="s">
        <v>185</v>
      </c>
      <c r="C83">
        <v>633.24244299999998</v>
      </c>
      <c r="D83">
        <v>16.768858000000002</v>
      </c>
      <c r="E83">
        <v>49.146610000000003</v>
      </c>
      <c r="F83">
        <v>15.991484</v>
      </c>
      <c r="G83">
        <v>39.598728999999999</v>
      </c>
      <c r="H83">
        <v>76.837451999999999</v>
      </c>
      <c r="I83">
        <v>0.37781599999999999</v>
      </c>
      <c r="J83">
        <v>377.64081700000003</v>
      </c>
      <c r="K83">
        <v>23.443109</v>
      </c>
      <c r="L83">
        <v>24.39</v>
      </c>
      <c r="M83">
        <v>25</v>
      </c>
      <c r="N83">
        <v>3</v>
      </c>
      <c r="O83">
        <v>30</v>
      </c>
      <c r="P83">
        <v>1007.0086209999999</v>
      </c>
      <c r="Q83">
        <v>0.1384234</v>
      </c>
      <c r="R83">
        <v>22.936609000000001</v>
      </c>
      <c r="S83">
        <v>22.6875</v>
      </c>
    </row>
    <row r="84" spans="1:19">
      <c r="A84" s="42">
        <v>46029.00277777778</v>
      </c>
      <c r="B84" t="s">
        <v>186</v>
      </c>
      <c r="C84">
        <v>633.58617800000002</v>
      </c>
      <c r="D84">
        <v>16.695039999999999</v>
      </c>
      <c r="E84">
        <v>49.065471000000002</v>
      </c>
      <c r="F84">
        <v>15.835334</v>
      </c>
      <c r="G84">
        <v>40.010914</v>
      </c>
      <c r="H84">
        <v>77.346780999999993</v>
      </c>
      <c r="I84">
        <v>0.36923600000000001</v>
      </c>
      <c r="J84">
        <v>194.92372</v>
      </c>
      <c r="K84">
        <v>23.455833999999999</v>
      </c>
      <c r="L84">
        <v>24.58</v>
      </c>
      <c r="M84">
        <v>25</v>
      </c>
      <c r="N84">
        <v>3</v>
      </c>
      <c r="O84">
        <v>30</v>
      </c>
      <c r="P84">
        <v>1006.8808330000001</v>
      </c>
      <c r="Q84">
        <v>0.1384058</v>
      </c>
      <c r="R84">
        <v>22.936609000000001</v>
      </c>
      <c r="S84">
        <v>22.6875</v>
      </c>
    </row>
  </sheetData>
  <autoFilter ref="A1:S46" xr:uid="{FD27823D-3DF8-4572-B7B6-20ED765C4ED4}">
    <sortState xmlns:xlrd2="http://schemas.microsoft.com/office/spreadsheetml/2017/richdata2" ref="A2:S46">
      <sortCondition ref="B1:B46"/>
    </sortState>
  </autoFilter>
  <conditionalFormatting sqref="B65:B1048576 C2:C64 B1">
    <cfRule type="duplicateValues" dxfId="78" priority="720"/>
  </conditionalFormatting>
  <pageMargins left="0.7" right="0.7" top="0.75" bottom="0.75" header="0.3" footer="0.3"/>
  <pageSetup scale="6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7"/>
  <sheetViews>
    <sheetView view="pageBreakPreview" topLeftCell="A70" zoomScale="85" zoomScaleNormal="100" zoomScaleSheetLayoutView="85" workbookViewId="0">
      <selection activeCell="E78" sqref="E78"/>
    </sheetView>
  </sheetViews>
  <sheetFormatPr defaultRowHeight="14.4"/>
  <cols>
    <col min="1" max="1" width="10.109375" bestFit="1" customWidth="1"/>
    <col min="2" max="2" width="39" bestFit="1" customWidth="1"/>
    <col min="3" max="9" width="18.44140625" customWidth="1"/>
    <col min="11" max="11" width="20.5546875" bestFit="1" customWidth="1"/>
  </cols>
  <sheetData>
    <row r="1" spans="1:12" ht="25.8">
      <c r="A1" s="50" t="s">
        <v>3</v>
      </c>
      <c r="B1" s="50"/>
      <c r="C1" s="50"/>
      <c r="D1" s="50"/>
      <c r="E1" s="50"/>
      <c r="F1" s="50"/>
      <c r="G1" s="50"/>
      <c r="H1" s="50"/>
      <c r="I1" s="50"/>
    </row>
    <row r="2" spans="1:12" ht="24.45" customHeight="1">
      <c r="A2" s="51" t="s">
        <v>5</v>
      </c>
      <c r="B2" s="51"/>
      <c r="C2" s="51"/>
      <c r="D2" s="51"/>
      <c r="E2" s="51"/>
      <c r="F2" s="51"/>
      <c r="G2" s="51"/>
      <c r="H2" s="51"/>
      <c r="I2" s="51"/>
    </row>
    <row r="3" spans="1:12" s="4" customFormat="1" ht="44.4" customHeight="1">
      <c r="A3" s="52" t="s">
        <v>106</v>
      </c>
      <c r="B3" s="52"/>
      <c r="C3" s="52"/>
      <c r="D3" s="52"/>
      <c r="E3" s="52"/>
      <c r="F3" s="52"/>
      <c r="G3" s="52"/>
      <c r="H3" s="52"/>
      <c r="I3" s="52"/>
    </row>
    <row r="4" spans="1:12" s="4" customFormat="1" ht="21">
      <c r="A4" s="53" t="s">
        <v>91</v>
      </c>
      <c r="B4" s="53"/>
      <c r="C4" s="53"/>
      <c r="D4" s="53"/>
      <c r="E4" s="53"/>
      <c r="F4" s="53"/>
      <c r="G4" s="53"/>
      <c r="H4" s="53"/>
      <c r="I4" s="53"/>
    </row>
    <row r="5" spans="1:12" s="5" customFormat="1" ht="23.4">
      <c r="A5" s="14" t="s">
        <v>27</v>
      </c>
      <c r="B5" s="14" t="s">
        <v>46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44</v>
      </c>
    </row>
    <row r="6" spans="1:12" s="5" customFormat="1" ht="21">
      <c r="A6" s="15" t="s">
        <v>34</v>
      </c>
      <c r="B6" s="16" t="s">
        <v>67</v>
      </c>
      <c r="C6" s="19">
        <v>608.05999999999995</v>
      </c>
      <c r="D6" s="19">
        <v>15.34</v>
      </c>
      <c r="E6" s="19">
        <v>48.91</v>
      </c>
      <c r="F6" s="19">
        <v>14.36</v>
      </c>
      <c r="G6" s="19">
        <v>42.33</v>
      </c>
      <c r="H6" s="19">
        <v>81.03</v>
      </c>
      <c r="I6" s="19">
        <v>22.51</v>
      </c>
      <c r="K6" s="5" t="str">
        <f>IFERROR(VLOOKUP(B6,Samples!$A:$A,1,0),"Not Found")</f>
        <v>Not Found</v>
      </c>
      <c r="L6" s="5">
        <f t="shared" ref="L6:L37" si="0">COUNTIF($B$6:$B$1048576,B6)</f>
        <v>1</v>
      </c>
    </row>
    <row r="7" spans="1:12" s="5" customFormat="1" ht="21">
      <c r="A7" s="17">
        <v>1</v>
      </c>
      <c r="B7" s="12" t="s">
        <v>107</v>
      </c>
      <c r="C7" s="18">
        <f>VLOOKUP(B7,MS!$B:$K,2,0)</f>
        <v>631.43805899999995</v>
      </c>
      <c r="D7" s="18">
        <f>VLOOKUP(B7,MS!$B:$K,3,0)</f>
        <v>16.716470999999999</v>
      </c>
      <c r="E7" s="18">
        <f>VLOOKUP(B7,MS!$B:$K,4,0)</f>
        <v>49.193921000000003</v>
      </c>
      <c r="F7" s="18">
        <f>VLOOKUP(B7,MS!$B:$K,5,0)</f>
        <v>15.018725999999999</v>
      </c>
      <c r="G7" s="18">
        <f>VLOOKUP(B7,MS!$B:$K,6,0)</f>
        <v>42.077440000000003</v>
      </c>
      <c r="H7" s="18">
        <f>VLOOKUP(B7,MS!$B:$K,7,0)</f>
        <v>82.284706</v>
      </c>
      <c r="I7" s="18">
        <f>VLOOKUP(B7,MS!$B:$K,10,0)</f>
        <v>23.386309000000001</v>
      </c>
      <c r="K7" s="5" t="str">
        <f>IFERROR(VLOOKUP(B7,Samples!$A:$A,1,0),"Not Found")</f>
        <v>Not Found</v>
      </c>
      <c r="L7" s="5">
        <f t="shared" si="0"/>
        <v>1</v>
      </c>
    </row>
    <row r="8" spans="1:12" s="13" customFormat="1" ht="22.05" customHeight="1">
      <c r="A8" s="17">
        <v>2</v>
      </c>
      <c r="B8" s="12" t="s">
        <v>108</v>
      </c>
      <c r="C8" s="18">
        <f>VLOOKUP(B8,MS!$B:$K,2,0)</f>
        <v>632.19763999999998</v>
      </c>
      <c r="D8" s="18">
        <f>VLOOKUP(B8,MS!$B:$K,3,0)</f>
        <v>16.640719000000001</v>
      </c>
      <c r="E8" s="18">
        <f>VLOOKUP(B8,MS!$B:$K,4,0)</f>
        <v>49.145668000000001</v>
      </c>
      <c r="F8" s="18">
        <f>VLOOKUP(B8,MS!$B:$K,5,0)</f>
        <v>15.986503000000001</v>
      </c>
      <c r="G8" s="18">
        <f>VLOOKUP(B8,MS!$B:$K,6,0)</f>
        <v>39.545712000000002</v>
      </c>
      <c r="H8" s="18">
        <f>VLOOKUP(B8,MS!$B:$K,7,0)</f>
        <v>77.302854999999994</v>
      </c>
      <c r="I8" s="18">
        <f>VLOOKUP(B8,MS!$B:$K,10,0)</f>
        <v>23.404429</v>
      </c>
      <c r="K8" s="5" t="str">
        <f>IFERROR(VLOOKUP(B8,Samples!$A:$A,1,0),"Not Found")</f>
        <v>Not Found</v>
      </c>
      <c r="L8" s="5">
        <f t="shared" si="0"/>
        <v>1</v>
      </c>
    </row>
    <row r="9" spans="1:12" s="13" customFormat="1" ht="22.05" customHeight="1">
      <c r="A9" s="17">
        <v>3</v>
      </c>
      <c r="B9" s="12" t="s">
        <v>109</v>
      </c>
      <c r="C9" s="18">
        <f>VLOOKUP(B9,MS!$B:$K,2,0)</f>
        <v>632.99952099999996</v>
      </c>
      <c r="D9" s="18">
        <f>VLOOKUP(B9,MS!$B:$K,3,0)</f>
        <v>15.621674000000001</v>
      </c>
      <c r="E9" s="18">
        <f>VLOOKUP(B9,MS!$B:$K,4,0)</f>
        <v>49.148636000000003</v>
      </c>
      <c r="F9" s="18">
        <f>VLOOKUP(B9,MS!$B:$K,5,0)</f>
        <v>15.026922000000001</v>
      </c>
      <c r="G9" s="18">
        <f>VLOOKUP(B9,MS!$B:$K,6,0)</f>
        <v>42.124364</v>
      </c>
      <c r="H9" s="18">
        <f>VLOOKUP(B9,MS!$B:$K,7,0)</f>
        <v>82.445003999999997</v>
      </c>
      <c r="I9" s="18">
        <f>VLOOKUP(B9,MS!$B:$K,10,0)</f>
        <v>23.434116</v>
      </c>
      <c r="K9" s="5" t="str">
        <f>IFERROR(VLOOKUP(B9,Samples!$A:$A,1,0),"Not Found")</f>
        <v>Not Found</v>
      </c>
      <c r="L9" s="5">
        <f t="shared" si="0"/>
        <v>1</v>
      </c>
    </row>
    <row r="10" spans="1:12" s="13" customFormat="1" ht="22.05" customHeight="1">
      <c r="A10" s="17">
        <v>4</v>
      </c>
      <c r="B10" s="12" t="s">
        <v>110</v>
      </c>
      <c r="C10" s="18">
        <f>VLOOKUP(B10,MS!$B:$K,2,0)</f>
        <v>634.07593599999996</v>
      </c>
      <c r="D10" s="18">
        <f>VLOOKUP(B10,MS!$B:$K,3,0)</f>
        <v>15.670211</v>
      </c>
      <c r="E10" s="18">
        <f>VLOOKUP(B10,MS!$B:$K,4,0)</f>
        <v>49.175786000000002</v>
      </c>
      <c r="F10" s="18">
        <f>VLOOKUP(B10,MS!$B:$K,5,0)</f>
        <v>15.039123999999999</v>
      </c>
      <c r="G10" s="18">
        <f>VLOOKUP(B10,MS!$B:$K,6,0)</f>
        <v>42.161759000000004</v>
      </c>
      <c r="H10" s="18">
        <f>VLOOKUP(B10,MS!$B:$K,7,0)</f>
        <v>82.283945000000003</v>
      </c>
      <c r="I10" s="18">
        <f>VLOOKUP(B10,MS!$B:$K,10,0)</f>
        <v>23.380444000000001</v>
      </c>
      <c r="K10" s="5" t="str">
        <f>IFERROR(VLOOKUP(B10,Samples!$A:$A,1,0),"Not Found")</f>
        <v>Not Found</v>
      </c>
      <c r="L10" s="5">
        <f t="shared" si="0"/>
        <v>1</v>
      </c>
    </row>
    <row r="11" spans="1:12" s="13" customFormat="1" ht="22.05" customHeight="1">
      <c r="A11" s="17">
        <v>5</v>
      </c>
      <c r="B11" s="12" t="s">
        <v>111</v>
      </c>
      <c r="C11" s="18">
        <f>VLOOKUP(B11,MS!$B:$K,2,0)</f>
        <v>633.82403999999997</v>
      </c>
      <c r="D11" s="18">
        <f>VLOOKUP(B11,MS!$B:$K,3,0)</f>
        <v>15.572481</v>
      </c>
      <c r="E11" s="18">
        <f>VLOOKUP(B11,MS!$B:$K,4,0)</f>
        <v>49.132060000000003</v>
      </c>
      <c r="F11" s="18">
        <f>VLOOKUP(B11,MS!$B:$K,5,0)</f>
        <v>14.900054000000001</v>
      </c>
      <c r="G11" s="18">
        <f>VLOOKUP(B11,MS!$B:$K,6,0)</f>
        <v>42.538370999999998</v>
      </c>
      <c r="H11" s="18">
        <f>VLOOKUP(B11,MS!$B:$K,7,0)</f>
        <v>82.841115000000002</v>
      </c>
      <c r="I11" s="18">
        <f>VLOOKUP(B11,MS!$B:$K,10,0)</f>
        <v>23.464639999999999</v>
      </c>
      <c r="K11" s="5" t="str">
        <f>IFERROR(VLOOKUP(B11,Samples!$A:$A,1,0),"Not Found")</f>
        <v>Not Found</v>
      </c>
      <c r="L11" s="5">
        <f t="shared" si="0"/>
        <v>1</v>
      </c>
    </row>
    <row r="12" spans="1:12" s="13" customFormat="1" ht="22.05" customHeight="1">
      <c r="A12" s="17">
        <v>6</v>
      </c>
      <c r="B12" s="12" t="s">
        <v>112</v>
      </c>
      <c r="C12" s="18">
        <f>VLOOKUP(B12,MS!$B:$K,2,0)</f>
        <v>633.39291000000003</v>
      </c>
      <c r="D12" s="18">
        <f>VLOOKUP(B12,MS!$B:$K,3,0)</f>
        <v>15.592299000000001</v>
      </c>
      <c r="E12" s="18">
        <f>VLOOKUP(B12,MS!$B:$K,4,0)</f>
        <v>49.146450999999999</v>
      </c>
      <c r="F12" s="18">
        <f>VLOOKUP(B12,MS!$B:$K,5,0)</f>
        <v>14.878658</v>
      </c>
      <c r="G12" s="18">
        <f>VLOOKUP(B12,MS!$B:$K,6,0)</f>
        <v>42.570568000000002</v>
      </c>
      <c r="H12" s="18">
        <f>VLOOKUP(B12,MS!$B:$K,7,0)</f>
        <v>82.655337000000003</v>
      </c>
      <c r="I12" s="18">
        <f>VLOOKUP(B12,MS!$B:$K,10,0)</f>
        <v>23.448678999999998</v>
      </c>
      <c r="K12" s="5" t="str">
        <f>IFERROR(VLOOKUP(B12,Samples!$A:$A,1,0),"Not Found")</f>
        <v>Not Found</v>
      </c>
      <c r="L12" s="5">
        <f t="shared" si="0"/>
        <v>1</v>
      </c>
    </row>
    <row r="13" spans="1:12" s="13" customFormat="1" ht="22.05" customHeight="1">
      <c r="A13" s="17">
        <v>7</v>
      </c>
      <c r="B13" s="12" t="s">
        <v>113</v>
      </c>
      <c r="C13" s="18">
        <f>VLOOKUP(B13,MS!$B:$K,2,0)</f>
        <v>633.540167</v>
      </c>
      <c r="D13" s="18">
        <f>VLOOKUP(B13,MS!$B:$K,3,0)</f>
        <v>15.550670999999999</v>
      </c>
      <c r="E13" s="18">
        <f>VLOOKUP(B13,MS!$B:$K,4,0)</f>
        <v>49.139178999999999</v>
      </c>
      <c r="F13" s="18">
        <f>VLOOKUP(B13,MS!$B:$K,5,0)</f>
        <v>14.891914999999999</v>
      </c>
      <c r="G13" s="18">
        <f>VLOOKUP(B13,MS!$B:$K,6,0)</f>
        <v>42.542558</v>
      </c>
      <c r="H13" s="18">
        <f>VLOOKUP(B13,MS!$B:$K,7,0)</f>
        <v>82.908128000000005</v>
      </c>
      <c r="I13" s="18">
        <f>VLOOKUP(B13,MS!$B:$K,10,0)</f>
        <v>23.454131</v>
      </c>
      <c r="K13" s="5" t="str">
        <f>IFERROR(VLOOKUP(B13,Samples!$A:$A,1,0),"Not Found")</f>
        <v>Not Found</v>
      </c>
      <c r="L13" s="5">
        <f t="shared" si="0"/>
        <v>1</v>
      </c>
    </row>
    <row r="14" spans="1:12" s="13" customFormat="1" ht="22.05" customHeight="1">
      <c r="A14" s="17">
        <v>8</v>
      </c>
      <c r="B14" s="12" t="s">
        <v>114</v>
      </c>
      <c r="C14" s="18">
        <f>VLOOKUP(B14,MS!$B:$K,2,0)</f>
        <v>633.41967899999997</v>
      </c>
      <c r="D14" s="18">
        <f>VLOOKUP(B14,MS!$B:$K,3,0)</f>
        <v>15.621278999999999</v>
      </c>
      <c r="E14" s="18">
        <f>VLOOKUP(B14,MS!$B:$K,4,0)</f>
        <v>49.142888999999997</v>
      </c>
      <c r="F14" s="18">
        <f>VLOOKUP(B14,MS!$B:$K,5,0)</f>
        <v>15.054069999999999</v>
      </c>
      <c r="G14" s="18">
        <f>VLOOKUP(B14,MS!$B:$K,6,0)</f>
        <v>42.076307</v>
      </c>
      <c r="H14" s="18">
        <f>VLOOKUP(B14,MS!$B:$K,7,0)</f>
        <v>82.511460999999997</v>
      </c>
      <c r="I14" s="18">
        <f>VLOOKUP(B14,MS!$B:$K,10,0)</f>
        <v>23.449670000000001</v>
      </c>
      <c r="K14" s="5" t="str">
        <f>IFERROR(VLOOKUP(B14,Samples!$A:$A,1,0),"Not Found")</f>
        <v>Not Found</v>
      </c>
      <c r="L14" s="5">
        <f t="shared" si="0"/>
        <v>1</v>
      </c>
    </row>
    <row r="15" spans="1:12" s="13" customFormat="1" ht="22.05" customHeight="1">
      <c r="A15" s="17">
        <v>9</v>
      </c>
      <c r="B15" s="12" t="s">
        <v>115</v>
      </c>
      <c r="C15" s="18">
        <f>VLOOKUP(B15,MS!$B:$K,2,0)</f>
        <v>632.679528</v>
      </c>
      <c r="D15" s="18">
        <f>VLOOKUP(B15,MS!$B:$K,3,0)</f>
        <v>16.747433999999998</v>
      </c>
      <c r="E15" s="18">
        <f>VLOOKUP(B15,MS!$B:$K,4,0)</f>
        <v>49.080992000000002</v>
      </c>
      <c r="F15" s="18">
        <f>VLOOKUP(B15,MS!$B:$K,5,0)</f>
        <v>16.033463999999999</v>
      </c>
      <c r="G15" s="18">
        <f>VLOOKUP(B15,MS!$B:$K,6,0)</f>
        <v>39.459941000000001</v>
      </c>
      <c r="H15" s="18">
        <f>VLOOKUP(B15,MS!$B:$K,7,0)</f>
        <v>76.970122000000003</v>
      </c>
      <c r="I15" s="18">
        <f>VLOOKUP(B15,MS!$B:$K,10,0)</f>
        <v>23.422269</v>
      </c>
      <c r="K15" s="5" t="str">
        <f>IFERROR(VLOOKUP(B15,Samples!$A:$A,1,0),"Not Found")</f>
        <v>Not Found</v>
      </c>
      <c r="L15" s="5">
        <f t="shared" si="0"/>
        <v>1</v>
      </c>
    </row>
    <row r="16" spans="1:12" s="13" customFormat="1" ht="22.05" customHeight="1">
      <c r="A16" s="17">
        <v>10</v>
      </c>
      <c r="B16" s="12" t="s">
        <v>116</v>
      </c>
      <c r="C16" s="18">
        <f>VLOOKUP(B16,MS!$B:$K,2,0)</f>
        <v>634.29745200000002</v>
      </c>
      <c r="D16" s="18">
        <f>VLOOKUP(B16,MS!$B:$K,3,0)</f>
        <v>16.698293</v>
      </c>
      <c r="E16" s="18">
        <f>VLOOKUP(B16,MS!$B:$K,4,0)</f>
        <v>49.241427999999999</v>
      </c>
      <c r="F16" s="18">
        <f>VLOOKUP(B16,MS!$B:$K,5,0)</f>
        <v>16.016220000000001</v>
      </c>
      <c r="G16" s="18">
        <f>VLOOKUP(B16,MS!$B:$K,6,0)</f>
        <v>39.603442999999999</v>
      </c>
      <c r="H16" s="18">
        <f>VLOOKUP(B16,MS!$B:$K,7,0)</f>
        <v>77.141887999999994</v>
      </c>
      <c r="I16" s="18">
        <f>VLOOKUP(B16,MS!$B:$K,10,0)</f>
        <v>23.482165999999999</v>
      </c>
      <c r="K16" s="5" t="str">
        <f>IFERROR(VLOOKUP(B16,Samples!$A:$A,1,0),"Not Found")</f>
        <v>Not Found</v>
      </c>
      <c r="L16" s="5">
        <f t="shared" si="0"/>
        <v>1</v>
      </c>
    </row>
    <row r="17" spans="1:12" s="13" customFormat="1" ht="22.05" customHeight="1">
      <c r="A17" s="17">
        <v>11</v>
      </c>
      <c r="B17" s="12" t="s">
        <v>117</v>
      </c>
      <c r="C17" s="18">
        <f>VLOOKUP(B17,MS!$B:$K,2,0)</f>
        <v>637.20377499999995</v>
      </c>
      <c r="D17" s="18">
        <f>VLOOKUP(B17,MS!$B:$K,3,0)</f>
        <v>15.585502999999999</v>
      </c>
      <c r="E17" s="18">
        <f>VLOOKUP(B17,MS!$B:$K,4,0)</f>
        <v>49.285431000000003</v>
      </c>
      <c r="F17" s="18">
        <f>VLOOKUP(B17,MS!$B:$K,5,0)</f>
        <v>14.933111999999999</v>
      </c>
      <c r="G17" s="18">
        <f>VLOOKUP(B17,MS!$B:$K,6,0)</f>
        <v>42.670529000000002</v>
      </c>
      <c r="H17" s="18">
        <f>VLOOKUP(B17,MS!$B:$K,7,0)</f>
        <v>82.954312999999999</v>
      </c>
      <c r="I17" s="18">
        <f>VLOOKUP(B17,MS!$B:$K,10,0)</f>
        <v>23.589759999999998</v>
      </c>
      <c r="K17" s="5" t="str">
        <f>IFERROR(VLOOKUP(B17,Samples!$A:$A,1,0),"Not Found")</f>
        <v>Not Found</v>
      </c>
      <c r="L17" s="5">
        <f t="shared" si="0"/>
        <v>1</v>
      </c>
    </row>
    <row r="18" spans="1:12" s="13" customFormat="1" ht="22.05" customHeight="1">
      <c r="A18" s="17">
        <v>12</v>
      </c>
      <c r="B18" s="12" t="s">
        <v>118</v>
      </c>
      <c r="C18" s="18">
        <f>VLOOKUP(B18,MS!$B:$K,2,0)</f>
        <v>626.61762899999997</v>
      </c>
      <c r="D18" s="18">
        <f>VLOOKUP(B18,MS!$B:$K,3,0)</f>
        <v>15.620760000000001</v>
      </c>
      <c r="E18" s="18">
        <f>VLOOKUP(B18,MS!$B:$K,4,0)</f>
        <v>49.159261000000001</v>
      </c>
      <c r="F18" s="18">
        <f>VLOOKUP(B18,MS!$B:$K,5,0)</f>
        <v>14.901529</v>
      </c>
      <c r="G18" s="18">
        <f>VLOOKUP(B18,MS!$B:$K,6,0)</f>
        <v>42.050558000000002</v>
      </c>
      <c r="H18" s="18">
        <f>VLOOKUP(B18,MS!$B:$K,7,0)</f>
        <v>81.600928999999994</v>
      </c>
      <c r="I18" s="18">
        <f>VLOOKUP(B18,MS!$B:$K,10,0)</f>
        <v>23.197852999999999</v>
      </c>
      <c r="K18" s="5" t="str">
        <f>IFERROR(VLOOKUP(B18,Samples!$A:$A,1,0),"Not Found")</f>
        <v>Not Found</v>
      </c>
      <c r="L18" s="5">
        <f t="shared" si="0"/>
        <v>1</v>
      </c>
    </row>
    <row r="19" spans="1:12" s="13" customFormat="1" ht="22.05" customHeight="1">
      <c r="A19" s="17">
        <v>13</v>
      </c>
      <c r="B19" s="12" t="s">
        <v>119</v>
      </c>
      <c r="C19" s="18">
        <f>VLOOKUP(B19,MS!$B:$K,2,0)</f>
        <v>632.10565199999996</v>
      </c>
      <c r="D19" s="18">
        <f>VLOOKUP(B19,MS!$B:$K,3,0)</f>
        <v>15.593859</v>
      </c>
      <c r="E19" s="18">
        <f>VLOOKUP(B19,MS!$B:$K,4,0)</f>
        <v>49.368654999999997</v>
      </c>
      <c r="F19" s="18">
        <f>VLOOKUP(B19,MS!$B:$K,5,0)</f>
        <v>14.946992</v>
      </c>
      <c r="G19" s="18">
        <f>VLOOKUP(B19,MS!$B:$K,6,0)</f>
        <v>42.289822000000001</v>
      </c>
      <c r="H19" s="18">
        <f>VLOOKUP(B19,MS!$B:$K,7,0)</f>
        <v>82.107867999999996</v>
      </c>
      <c r="I19" s="18">
        <f>VLOOKUP(B19,MS!$B:$K,10,0)</f>
        <v>23.401024</v>
      </c>
      <c r="K19" s="5" t="str">
        <f>IFERROR(VLOOKUP(B19,Samples!$A:$A,1,0),"Not Found")</f>
        <v>Not Found</v>
      </c>
      <c r="L19" s="5">
        <f t="shared" si="0"/>
        <v>1</v>
      </c>
    </row>
    <row r="20" spans="1:12" s="13" customFormat="1" ht="22.05" customHeight="1">
      <c r="A20" s="17">
        <v>14</v>
      </c>
      <c r="B20" s="12" t="s">
        <v>120</v>
      </c>
      <c r="C20" s="18">
        <f>VLOOKUP(B20,MS!$B:$K,2,0)</f>
        <v>627.31350899999995</v>
      </c>
      <c r="D20" s="18">
        <f>VLOOKUP(B20,MS!$B:$K,3,0)</f>
        <v>15.653639</v>
      </c>
      <c r="E20" s="18">
        <f>VLOOKUP(B20,MS!$B:$K,4,0)</f>
        <v>49.108857999999998</v>
      </c>
      <c r="F20" s="18">
        <f>VLOOKUP(B20,MS!$B:$K,5,0)</f>
        <v>14.945572</v>
      </c>
      <c r="G20" s="18">
        <f>VLOOKUP(B20,MS!$B:$K,6,0)</f>
        <v>41.973201000000003</v>
      </c>
      <c r="H20" s="18">
        <f>VLOOKUP(B20,MS!$B:$K,7,0)</f>
        <v>81.603629999999995</v>
      </c>
      <c r="I20" s="18">
        <f>VLOOKUP(B20,MS!$B:$K,10,0)</f>
        <v>23.223614999999999</v>
      </c>
      <c r="K20" s="5" t="str">
        <f>IFERROR(VLOOKUP(B20,Samples!$A:$A,1,0),"Not Found")</f>
        <v>Not Found</v>
      </c>
      <c r="L20" s="5">
        <f t="shared" si="0"/>
        <v>1</v>
      </c>
    </row>
    <row r="21" spans="1:12" s="13" customFormat="1" ht="22.05" customHeight="1">
      <c r="A21" s="17">
        <v>15</v>
      </c>
      <c r="B21" s="12" t="s">
        <v>121</v>
      </c>
      <c r="C21" s="18">
        <f>VLOOKUP(B21,MS!$B:$K,2,0)</f>
        <v>637.85217299999999</v>
      </c>
      <c r="D21" s="18">
        <f>VLOOKUP(B21,MS!$B:$K,3,0)</f>
        <v>15.557869999999999</v>
      </c>
      <c r="E21" s="18">
        <f>VLOOKUP(B21,MS!$B:$K,4,0)</f>
        <v>49.157885</v>
      </c>
      <c r="F21" s="18">
        <f>VLOOKUP(B21,MS!$B:$K,5,0)</f>
        <v>14.951708999999999</v>
      </c>
      <c r="G21" s="18">
        <f>VLOOKUP(B21,MS!$B:$K,6,0)</f>
        <v>42.660820999999999</v>
      </c>
      <c r="H21" s="18">
        <f>VLOOKUP(B21,MS!$B:$K,7,0)</f>
        <v>83.402045999999999</v>
      </c>
      <c r="I21" s="18">
        <f>VLOOKUP(B21,MS!$B:$K,10,0)</f>
        <v>23.613765000000001</v>
      </c>
      <c r="K21" s="5" t="str">
        <f>IFERROR(VLOOKUP(B21,Samples!$A:$A,1,0),"Not Found")</f>
        <v>Not Found</v>
      </c>
      <c r="L21" s="5">
        <f t="shared" si="0"/>
        <v>1</v>
      </c>
    </row>
    <row r="22" spans="1:12" s="13" customFormat="1" ht="22.05" customHeight="1">
      <c r="A22" s="17">
        <v>16</v>
      </c>
      <c r="B22" s="12" t="s">
        <v>122</v>
      </c>
      <c r="C22" s="18">
        <f>VLOOKUP(B22,MS!$B:$K,2,0)</f>
        <v>632.74663999999996</v>
      </c>
      <c r="D22" s="18">
        <f>VLOOKUP(B22,MS!$B:$K,3,0)</f>
        <v>15.610009</v>
      </c>
      <c r="E22" s="18">
        <f>VLOOKUP(B22,MS!$B:$K,4,0)</f>
        <v>49.076441000000003</v>
      </c>
      <c r="F22" s="18">
        <f>VLOOKUP(B22,MS!$B:$K,5,0)</f>
        <v>14.875613</v>
      </c>
      <c r="G22" s="18">
        <f>VLOOKUP(B22,MS!$B:$K,6,0)</f>
        <v>42.535836000000003</v>
      </c>
      <c r="H22" s="18">
        <f>VLOOKUP(B22,MS!$B:$K,7,0)</f>
        <v>82.594976000000003</v>
      </c>
      <c r="I22" s="18">
        <f>VLOOKUP(B22,MS!$B:$K,10,0)</f>
        <v>23.424754</v>
      </c>
      <c r="K22" s="5" t="str">
        <f>IFERROR(VLOOKUP(B22,Samples!$A:$A,1,0),"Not Found")</f>
        <v>Not Found</v>
      </c>
      <c r="L22" s="5">
        <f t="shared" si="0"/>
        <v>1</v>
      </c>
    </row>
    <row r="23" spans="1:12" s="13" customFormat="1" ht="22.05" customHeight="1">
      <c r="A23" s="17">
        <v>17</v>
      </c>
      <c r="B23" s="12" t="s">
        <v>123</v>
      </c>
      <c r="C23" s="18">
        <f>VLOOKUP(B23,MS!$B:$K,2,0)</f>
        <v>631.78380300000003</v>
      </c>
      <c r="D23" s="18">
        <f>VLOOKUP(B23,MS!$B:$K,3,0)</f>
        <v>15.586582999999999</v>
      </c>
      <c r="E23" s="18">
        <f>VLOOKUP(B23,MS!$B:$K,4,0)</f>
        <v>48.981368000000003</v>
      </c>
      <c r="F23" s="18">
        <f>VLOOKUP(B23,MS!$B:$K,5,0)</f>
        <v>14.890207</v>
      </c>
      <c r="G23" s="18">
        <f>VLOOKUP(B23,MS!$B:$K,6,0)</f>
        <v>42.429484000000002</v>
      </c>
      <c r="H23" s="18">
        <f>VLOOKUP(B23,MS!$B:$K,7,0)</f>
        <v>82.753556000000003</v>
      </c>
      <c r="I23" s="18">
        <f>VLOOKUP(B23,MS!$B:$K,10,0)</f>
        <v>23.389109000000001</v>
      </c>
      <c r="K23" s="5" t="str">
        <f>IFERROR(VLOOKUP(B23,Samples!$A:$A,1,0),"Not Found")</f>
        <v>Not Found</v>
      </c>
      <c r="L23" s="5">
        <f t="shared" si="0"/>
        <v>1</v>
      </c>
    </row>
    <row r="24" spans="1:12" s="13" customFormat="1" ht="22.05" customHeight="1">
      <c r="A24" s="17">
        <v>18</v>
      </c>
      <c r="B24" s="12" t="s">
        <v>124</v>
      </c>
      <c r="C24" s="18">
        <f>VLOOKUP(B24,MS!$B:$K,2,0)</f>
        <v>633.57748800000002</v>
      </c>
      <c r="D24" s="18">
        <f>VLOOKUP(B24,MS!$B:$K,3,0)</f>
        <v>15.537084</v>
      </c>
      <c r="E24" s="18">
        <f>VLOOKUP(B24,MS!$B:$K,4,0)</f>
        <v>49.058244000000002</v>
      </c>
      <c r="F24" s="18">
        <f>VLOOKUP(B24,MS!$B:$K,5,0)</f>
        <v>14.903184</v>
      </c>
      <c r="G24" s="18">
        <f>VLOOKUP(B24,MS!$B:$K,6,0)</f>
        <v>42.512895</v>
      </c>
      <c r="H24" s="18">
        <f>VLOOKUP(B24,MS!$B:$K,7,0)</f>
        <v>83.122427999999999</v>
      </c>
      <c r="I24" s="18">
        <f>VLOOKUP(B24,MS!$B:$K,10,0)</f>
        <v>23.455511999999999</v>
      </c>
      <c r="K24" s="5" t="str">
        <f>IFERROR(VLOOKUP(B24,Samples!$A:$A,1,0),"Not Found")</f>
        <v>Not Found</v>
      </c>
      <c r="L24" s="5">
        <f t="shared" si="0"/>
        <v>1</v>
      </c>
    </row>
    <row r="25" spans="1:12" s="13" customFormat="1" ht="22.05" customHeight="1">
      <c r="A25" s="17">
        <v>19</v>
      </c>
      <c r="B25" s="12" t="s">
        <v>125</v>
      </c>
      <c r="C25" s="18">
        <f>VLOOKUP(B25,MS!$B:$K,2,0)</f>
        <v>634.45861100000002</v>
      </c>
      <c r="D25" s="18">
        <f>VLOOKUP(B25,MS!$B:$K,3,0)</f>
        <v>15.566300999999999</v>
      </c>
      <c r="E25" s="18">
        <f>VLOOKUP(B25,MS!$B:$K,4,0)</f>
        <v>48.976978000000003</v>
      </c>
      <c r="F25" s="18">
        <f>VLOOKUP(B25,MS!$B:$K,5,0)</f>
        <v>14.952973</v>
      </c>
      <c r="G25" s="18">
        <f>VLOOKUP(B25,MS!$B:$K,6,0)</f>
        <v>42.430267000000001</v>
      </c>
      <c r="H25" s="18">
        <f>VLOOKUP(B25,MS!$B:$K,7,0)</f>
        <v>83.219650000000001</v>
      </c>
      <c r="I25" s="18">
        <f>VLOOKUP(B25,MS!$B:$K,10,0)</f>
        <v>23.488132</v>
      </c>
      <c r="K25" s="5" t="str">
        <f>IFERROR(VLOOKUP(B25,Samples!$A:$A,1,0),"Not Found")</f>
        <v>Not Found</v>
      </c>
      <c r="L25" s="5">
        <f t="shared" si="0"/>
        <v>1</v>
      </c>
    </row>
    <row r="26" spans="1:12" s="13" customFormat="1" ht="22.05" customHeight="1">
      <c r="A26" s="17">
        <v>20</v>
      </c>
      <c r="B26" s="12" t="s">
        <v>126</v>
      </c>
      <c r="C26" s="18">
        <f>VLOOKUP(B26,MS!$B:$K,2,0)</f>
        <v>634.09682499999997</v>
      </c>
      <c r="D26" s="18">
        <f>VLOOKUP(B26,MS!$B:$K,3,0)</f>
        <v>15.573389000000001</v>
      </c>
      <c r="E26" s="18">
        <f>VLOOKUP(B26,MS!$B:$K,4,0)</f>
        <v>49.170610000000003</v>
      </c>
      <c r="F26" s="18">
        <f>VLOOKUP(B26,MS!$B:$K,5,0)</f>
        <v>14.885933</v>
      </c>
      <c r="G26" s="18">
        <f>VLOOKUP(B26,MS!$B:$K,6,0)</f>
        <v>42.597050000000003</v>
      </c>
      <c r="H26" s="18">
        <f>VLOOKUP(B26,MS!$B:$K,7,0)</f>
        <v>82.806960000000004</v>
      </c>
      <c r="I26" s="18">
        <f>VLOOKUP(B26,MS!$B:$K,10,0)</f>
        <v>23.474739</v>
      </c>
      <c r="K26" s="5" t="str">
        <f>IFERROR(VLOOKUP(B26,Samples!$A:$A,1,0),"Not Found")</f>
        <v>Not Found</v>
      </c>
      <c r="L26" s="5">
        <f t="shared" si="0"/>
        <v>1</v>
      </c>
    </row>
    <row r="27" spans="1:12" s="13" customFormat="1" ht="22.05" customHeight="1">
      <c r="A27" s="17">
        <v>21</v>
      </c>
      <c r="B27" s="12" t="s">
        <v>127</v>
      </c>
      <c r="C27" s="18">
        <f>VLOOKUP(B27,MS!$B:$K,2,0)</f>
        <v>633.73309099999994</v>
      </c>
      <c r="D27" s="18">
        <f>VLOOKUP(B27,MS!$B:$K,3,0)</f>
        <v>15.567755</v>
      </c>
      <c r="E27" s="18">
        <f>VLOOKUP(B27,MS!$B:$K,4,0)</f>
        <v>48.953223999999999</v>
      </c>
      <c r="F27" s="18">
        <f>VLOOKUP(B27,MS!$B:$K,5,0)</f>
        <v>14.947519</v>
      </c>
      <c r="G27" s="18">
        <f>VLOOKUP(B27,MS!$B:$K,6,0)</f>
        <v>42.397208999999997</v>
      </c>
      <c r="H27" s="18">
        <f>VLOOKUP(B27,MS!$B:$K,7,0)</f>
        <v>83.157054000000002</v>
      </c>
      <c r="I27" s="18">
        <f>VLOOKUP(B27,MS!$B:$K,10,0)</f>
        <v>23.461272999999998</v>
      </c>
      <c r="K27" s="5" t="str">
        <f>IFERROR(VLOOKUP(B27,Samples!$A:$A,1,0),"Not Found")</f>
        <v>Not Found</v>
      </c>
      <c r="L27" s="5">
        <f t="shared" si="0"/>
        <v>1</v>
      </c>
    </row>
    <row r="28" spans="1:12" s="13" customFormat="1" ht="22.05" customHeight="1">
      <c r="A28" s="17">
        <v>22</v>
      </c>
      <c r="B28" s="12" t="s">
        <v>128</v>
      </c>
      <c r="C28" s="18">
        <f>VLOOKUP(B28,MS!$B:$K,2,0)</f>
        <v>634.73082199999999</v>
      </c>
      <c r="D28" s="18">
        <f>VLOOKUP(B28,MS!$B:$K,3,0)</f>
        <v>15.613946</v>
      </c>
      <c r="E28" s="18">
        <f>VLOOKUP(B28,MS!$B:$K,4,0)</f>
        <v>48.971483999999997</v>
      </c>
      <c r="F28" s="18">
        <f>VLOOKUP(B28,MS!$B:$K,5,0)</f>
        <v>14.933484999999999</v>
      </c>
      <c r="G28" s="18">
        <f>VLOOKUP(B28,MS!$B:$K,6,0)</f>
        <v>42.503864</v>
      </c>
      <c r="H28" s="18">
        <f>VLOOKUP(B28,MS!$B:$K,7,0)</f>
        <v>83.010617999999994</v>
      </c>
      <c r="I28" s="18">
        <f>VLOOKUP(B28,MS!$B:$K,10,0)</f>
        <v>23.49821</v>
      </c>
      <c r="K28" s="5" t="str">
        <f>IFERROR(VLOOKUP(B28,Samples!$A:$A,1,0),"Not Found")</f>
        <v>Not Found</v>
      </c>
      <c r="L28" s="5">
        <f t="shared" si="0"/>
        <v>1</v>
      </c>
    </row>
    <row r="29" spans="1:12" s="13" customFormat="1" ht="22.05" customHeight="1">
      <c r="A29" s="17">
        <v>23</v>
      </c>
      <c r="B29" s="12" t="s">
        <v>129</v>
      </c>
      <c r="C29" s="18">
        <f>VLOOKUP(B29,MS!$B:$K,2,0)</f>
        <v>634.85653200000002</v>
      </c>
      <c r="D29" s="18">
        <f>VLOOKUP(B29,MS!$B:$K,3,0)</f>
        <v>15.608492</v>
      </c>
      <c r="E29" s="18">
        <f>VLOOKUP(B29,MS!$B:$K,4,0)</f>
        <v>49.114812999999998</v>
      </c>
      <c r="F29" s="18">
        <f>VLOOKUP(B29,MS!$B:$K,5,0)</f>
        <v>14.909098999999999</v>
      </c>
      <c r="G29" s="18">
        <f>VLOOKUP(B29,MS!$B:$K,6,0)</f>
        <v>42.581819000000003</v>
      </c>
      <c r="H29" s="18">
        <f>VLOOKUP(B29,MS!$B:$K,7,0)</f>
        <v>82.813692000000003</v>
      </c>
      <c r="I29" s="18">
        <f>VLOOKUP(B29,MS!$B:$K,10,0)</f>
        <v>23.502863999999999</v>
      </c>
      <c r="K29" s="5" t="str">
        <f>IFERROR(VLOOKUP(B29,Samples!$A:$A,1,0),"Not Found")</f>
        <v>Not Found</v>
      </c>
      <c r="L29" s="5">
        <f t="shared" si="0"/>
        <v>1</v>
      </c>
    </row>
    <row r="30" spans="1:12" s="13" customFormat="1" ht="22.05" customHeight="1">
      <c r="A30" s="17">
        <v>24</v>
      </c>
      <c r="B30" s="12" t="s">
        <v>183</v>
      </c>
      <c r="C30" s="18">
        <f>VLOOKUP(B30,MS!$B:$K,2,0)</f>
        <v>630.99165000000005</v>
      </c>
      <c r="D30" s="18">
        <f>VLOOKUP(B30,MS!$B:$K,3,0)</f>
        <v>16.681355</v>
      </c>
      <c r="E30" s="18">
        <f>VLOOKUP(B30,MS!$B:$K,4,0)</f>
        <v>49.103301000000002</v>
      </c>
      <c r="F30" s="18">
        <f>VLOOKUP(B30,MS!$B:$K,5,0)</f>
        <v>15.999639999999999</v>
      </c>
      <c r="G30" s="18">
        <f>VLOOKUP(B30,MS!$B:$K,6,0)</f>
        <v>39.437866999999997</v>
      </c>
      <c r="H30" s="18">
        <f>VLOOKUP(B30,MS!$B:$K,7,0)</f>
        <v>77.033851999999996</v>
      </c>
      <c r="I30" s="18">
        <f>VLOOKUP(B30,MS!$B:$K,10,0)</f>
        <v>23.359783</v>
      </c>
      <c r="K30" s="5" t="str">
        <f>IFERROR(VLOOKUP(B30,Samples!$A:$A,1,0),"Not Found")</f>
        <v>Not Found</v>
      </c>
      <c r="L30" s="5">
        <f t="shared" si="0"/>
        <v>1</v>
      </c>
    </row>
    <row r="31" spans="1:12" s="13" customFormat="1" ht="22.05" customHeight="1">
      <c r="A31" s="17">
        <v>25</v>
      </c>
      <c r="B31" s="12" t="s">
        <v>130</v>
      </c>
      <c r="C31" s="18">
        <f>VLOOKUP(B31,MS!$B:$K,2,0)</f>
        <v>627.99172099999998</v>
      </c>
      <c r="D31" s="18">
        <f>VLOOKUP(B31,MS!$B:$K,3,0)</f>
        <v>15.496879</v>
      </c>
      <c r="E31" s="18">
        <f>VLOOKUP(B31,MS!$B:$K,4,0)</f>
        <v>48.999282000000001</v>
      </c>
      <c r="F31" s="18">
        <f>VLOOKUP(B31,MS!$B:$K,5,0)</f>
        <v>14.931502</v>
      </c>
      <c r="G31" s="18">
        <f>VLOOKUP(B31,MS!$B:$K,6,0)</f>
        <v>42.058174000000001</v>
      </c>
      <c r="H31" s="18">
        <f>VLOOKUP(B31,MS!$B:$K,7,0)</f>
        <v>82.702749999999995</v>
      </c>
      <c r="I31" s="18">
        <f>VLOOKUP(B31,MS!$B:$K,10,0)</f>
        <v>23.248722999999998</v>
      </c>
      <c r="K31" s="5" t="str">
        <f>IFERROR(VLOOKUP(B31,Samples!$A:$A,1,0),"Not Found")</f>
        <v>Not Found</v>
      </c>
      <c r="L31" s="5">
        <f t="shared" si="0"/>
        <v>1</v>
      </c>
    </row>
    <row r="32" spans="1:12" s="13" customFormat="1" ht="22.05" customHeight="1">
      <c r="A32" s="17">
        <v>26</v>
      </c>
      <c r="B32" s="12" t="s">
        <v>131</v>
      </c>
      <c r="C32" s="18">
        <f>VLOOKUP(B32,MS!$B:$K,2,0)</f>
        <v>633.87649999999996</v>
      </c>
      <c r="D32" s="18">
        <f>VLOOKUP(B32,MS!$B:$K,3,0)</f>
        <v>15.535176</v>
      </c>
      <c r="E32" s="18">
        <f>VLOOKUP(B32,MS!$B:$K,4,0)</f>
        <v>49.145088000000001</v>
      </c>
      <c r="F32" s="18">
        <f>VLOOKUP(B32,MS!$B:$K,5,0)</f>
        <v>14.88776</v>
      </c>
      <c r="G32" s="18">
        <f>VLOOKUP(B32,MS!$B:$K,6,0)</f>
        <v>42.577024000000002</v>
      </c>
      <c r="H32" s="18">
        <f>VLOOKUP(B32,MS!$B:$K,7,0)</f>
        <v>83.024900000000002</v>
      </c>
      <c r="I32" s="18">
        <f>VLOOKUP(B32,MS!$B:$K,10,0)</f>
        <v>23.466581999999999</v>
      </c>
      <c r="K32" s="5" t="str">
        <f>IFERROR(VLOOKUP(B32,Samples!$A:$A,1,0),"Not Found")</f>
        <v>Not Found</v>
      </c>
      <c r="L32" s="5">
        <f t="shared" si="0"/>
        <v>1</v>
      </c>
    </row>
    <row r="33" spans="1:12" s="13" customFormat="1" ht="22.05" customHeight="1">
      <c r="A33" s="17">
        <v>27</v>
      </c>
      <c r="B33" s="12" t="s">
        <v>132</v>
      </c>
      <c r="C33" s="18">
        <f>VLOOKUP(B33,MS!$B:$K,2,0)</f>
        <v>632.32687199999998</v>
      </c>
      <c r="D33" s="18">
        <f>VLOOKUP(B33,MS!$B:$K,3,0)</f>
        <v>15.497926</v>
      </c>
      <c r="E33" s="18">
        <f>VLOOKUP(B33,MS!$B:$K,4,0)</f>
        <v>49.240065000000001</v>
      </c>
      <c r="F33" s="18">
        <f>VLOOKUP(B33,MS!$B:$K,5,0)</f>
        <v>14.839783000000001</v>
      </c>
      <c r="G33" s="18">
        <f>VLOOKUP(B33,MS!$B:$K,6,0)</f>
        <v>42.610250999999998</v>
      </c>
      <c r="H33" s="18">
        <f>VLOOKUP(B33,MS!$B:$K,7,0)</f>
        <v>82.860859000000005</v>
      </c>
      <c r="I33" s="18">
        <f>VLOOKUP(B33,MS!$B:$K,10,0)</f>
        <v>23.409213999999999</v>
      </c>
      <c r="K33" s="5" t="str">
        <f>IFERROR(VLOOKUP(B33,Samples!$A:$A,1,0),"Not Found")</f>
        <v>Not Found</v>
      </c>
      <c r="L33" s="5">
        <f t="shared" si="0"/>
        <v>1</v>
      </c>
    </row>
    <row r="34" spans="1:12" s="13" customFormat="1" ht="22.05" customHeight="1">
      <c r="A34" s="17">
        <v>28</v>
      </c>
      <c r="B34" s="12" t="s">
        <v>133</v>
      </c>
      <c r="C34" s="18">
        <f>VLOOKUP(B34,MS!$B:$K,2,0)</f>
        <v>632.285033</v>
      </c>
      <c r="D34" s="18">
        <f>VLOOKUP(B34,MS!$B:$K,3,0)</f>
        <v>15.578703000000001</v>
      </c>
      <c r="E34" s="18">
        <f>VLOOKUP(B34,MS!$B:$K,4,0)</f>
        <v>49.159334999999999</v>
      </c>
      <c r="F34" s="18">
        <f>VLOOKUP(B34,MS!$B:$K,5,0)</f>
        <v>14.842881</v>
      </c>
      <c r="G34" s="18">
        <f>VLOOKUP(B34,MS!$B:$K,6,0)</f>
        <v>42.598537999999998</v>
      </c>
      <c r="H34" s="18">
        <f>VLOOKUP(B34,MS!$B:$K,7,0)</f>
        <v>82.561126999999999</v>
      </c>
      <c r="I34" s="18">
        <f>VLOOKUP(B34,MS!$B:$K,10,0)</f>
        <v>23.407665000000001</v>
      </c>
      <c r="K34" s="5" t="str">
        <f>IFERROR(VLOOKUP(B34,Samples!$A:$A,1,0),"Not Found")</f>
        <v>Not Found</v>
      </c>
      <c r="L34" s="5">
        <f t="shared" si="0"/>
        <v>1</v>
      </c>
    </row>
    <row r="35" spans="1:12" s="13" customFormat="1" ht="22.05" customHeight="1">
      <c r="A35" s="17">
        <v>29</v>
      </c>
      <c r="B35" s="12" t="s">
        <v>134</v>
      </c>
      <c r="C35" s="18">
        <f>VLOOKUP(B35,MS!$B:$K,2,0)</f>
        <v>636.94172100000003</v>
      </c>
      <c r="D35" s="18">
        <f>VLOOKUP(B35,MS!$B:$K,3,0)</f>
        <v>15.613334999999999</v>
      </c>
      <c r="E35" s="18">
        <f>VLOOKUP(B35,MS!$B:$K,4,0)</f>
        <v>48.906311000000002</v>
      </c>
      <c r="F35" s="18">
        <f>VLOOKUP(B35,MS!$B:$K,5,0)</f>
        <v>15.016185999999999</v>
      </c>
      <c r="G35" s="18">
        <f>VLOOKUP(B35,MS!$B:$K,6,0)</f>
        <v>42.417011000000002</v>
      </c>
      <c r="H35" s="18">
        <f>VLOOKUP(B35,MS!$B:$K,7,0)</f>
        <v>83.414034000000001</v>
      </c>
      <c r="I35" s="18">
        <f>VLOOKUP(B35,MS!$B:$K,10,0)</f>
        <v>23.580058999999999</v>
      </c>
      <c r="K35" s="5" t="str">
        <f>IFERROR(VLOOKUP(B35,Samples!$A:$A,1,0),"Not Found")</f>
        <v>Not Found</v>
      </c>
      <c r="L35" s="5">
        <f t="shared" si="0"/>
        <v>1</v>
      </c>
    </row>
    <row r="36" spans="1:12" s="13" customFormat="1" ht="22.05" customHeight="1">
      <c r="A36" s="17">
        <v>30</v>
      </c>
      <c r="B36" s="12" t="s">
        <v>135</v>
      </c>
      <c r="C36" s="18">
        <f>VLOOKUP(B36,MS!$B:$K,2,0)</f>
        <v>632.38315299999999</v>
      </c>
      <c r="D36" s="18">
        <f>VLOOKUP(B36,MS!$B:$K,3,0)</f>
        <v>15.578298999999999</v>
      </c>
      <c r="E36" s="18">
        <f>VLOOKUP(B36,MS!$B:$K,4,0)</f>
        <v>48.992226000000002</v>
      </c>
      <c r="F36" s="18">
        <f>VLOOKUP(B36,MS!$B:$K,5,0)</f>
        <v>14.879049</v>
      </c>
      <c r="G36" s="18">
        <f>VLOOKUP(B36,MS!$B:$K,6,0)</f>
        <v>42.501584000000001</v>
      </c>
      <c r="H36" s="18">
        <f>VLOOKUP(B36,MS!$B:$K,7,0)</f>
        <v>82.857740000000007</v>
      </c>
      <c r="I36" s="18">
        <f>VLOOKUP(B36,MS!$B:$K,10,0)</f>
        <v>23.411297000000001</v>
      </c>
      <c r="K36" s="5" t="str">
        <f>IFERROR(VLOOKUP(B36,Samples!$A:$A,1,0),"Not Found")</f>
        <v>Not Found</v>
      </c>
      <c r="L36" s="5">
        <f t="shared" si="0"/>
        <v>1</v>
      </c>
    </row>
    <row r="37" spans="1:12" s="13" customFormat="1" ht="22.05" customHeight="1">
      <c r="A37" s="17">
        <v>31</v>
      </c>
      <c r="B37" s="12" t="s">
        <v>136</v>
      </c>
      <c r="C37" s="18">
        <f>VLOOKUP(B37,MS!$B:$K,2,0)</f>
        <v>634.23710500000004</v>
      </c>
      <c r="D37" s="18">
        <f>VLOOKUP(B37,MS!$B:$K,3,0)</f>
        <v>15.616673</v>
      </c>
      <c r="E37" s="18">
        <f>VLOOKUP(B37,MS!$B:$K,4,0)</f>
        <v>48.905408000000001</v>
      </c>
      <c r="F37" s="18">
        <f>VLOOKUP(B37,MS!$B:$K,5,0)</f>
        <v>14.943042</v>
      </c>
      <c r="G37" s="18">
        <f>VLOOKUP(B37,MS!$B:$K,6,0)</f>
        <v>42.443641</v>
      </c>
      <c r="H37" s="18">
        <f>VLOOKUP(B37,MS!$B:$K,7,0)</f>
        <v>83.043616999999998</v>
      </c>
      <c r="I37" s="18">
        <f>VLOOKUP(B37,MS!$B:$K,10,0)</f>
        <v>23.479932000000002</v>
      </c>
      <c r="K37" s="5" t="str">
        <f>IFERROR(VLOOKUP(B37,Samples!$A:$A,1,0),"Not Found")</f>
        <v>Not Found</v>
      </c>
      <c r="L37" s="5">
        <f t="shared" si="0"/>
        <v>1</v>
      </c>
    </row>
    <row r="38" spans="1:12" s="13" customFormat="1" ht="22.05" customHeight="1">
      <c r="A38" s="17">
        <v>32</v>
      </c>
      <c r="B38" s="12" t="s">
        <v>137</v>
      </c>
      <c r="C38" s="18">
        <f>VLOOKUP(B38,MS!$B:$K,2,0)</f>
        <v>633.37054899999998</v>
      </c>
      <c r="D38" s="18">
        <f>VLOOKUP(B38,MS!$B:$K,3,0)</f>
        <v>15.576096</v>
      </c>
      <c r="E38" s="18">
        <f>VLOOKUP(B38,MS!$B:$K,4,0)</f>
        <v>49.034668000000003</v>
      </c>
      <c r="F38" s="18">
        <f>VLOOKUP(B38,MS!$B:$K,5,0)</f>
        <v>14.883217999999999</v>
      </c>
      <c r="G38" s="18">
        <f>VLOOKUP(B38,MS!$B:$K,6,0)</f>
        <v>42.556021999999999</v>
      </c>
      <c r="H38" s="18">
        <f>VLOOKUP(B38,MS!$B:$K,7,0)</f>
        <v>82.927009999999996</v>
      </c>
      <c r="I38" s="18">
        <f>VLOOKUP(B38,MS!$B:$K,10,0)</f>
        <v>23.447851</v>
      </c>
      <c r="K38" s="5" t="str">
        <f>IFERROR(VLOOKUP(B38,Samples!$A:$A,1,0),"Not Found")</f>
        <v>Not Found</v>
      </c>
      <c r="L38" s="5">
        <f t="shared" ref="L38:L57" si="1">COUNTIF($B$6:$B$1048576,B38)</f>
        <v>1</v>
      </c>
    </row>
    <row r="39" spans="1:12" s="13" customFormat="1" ht="22.05" customHeight="1">
      <c r="A39" s="17">
        <v>33</v>
      </c>
      <c r="B39" s="12" t="s">
        <v>138</v>
      </c>
      <c r="C39" s="18">
        <f>VLOOKUP(B39,MS!$B:$K,2,0)</f>
        <v>631.35000100000002</v>
      </c>
      <c r="D39" s="18">
        <f>VLOOKUP(B39,MS!$B:$K,3,0)</f>
        <v>15.577683</v>
      </c>
      <c r="E39" s="18">
        <f>VLOOKUP(B39,MS!$B:$K,4,0)</f>
        <v>49.021213000000003</v>
      </c>
      <c r="F39" s="18">
        <f>VLOOKUP(B39,MS!$B:$K,5,0)</f>
        <v>14.859078</v>
      </c>
      <c r="G39" s="18">
        <f>VLOOKUP(B39,MS!$B:$K,6,0)</f>
        <v>42.489176</v>
      </c>
      <c r="H39" s="18">
        <f>VLOOKUP(B39,MS!$B:$K,7,0)</f>
        <v>82.676725000000005</v>
      </c>
      <c r="I39" s="18">
        <f>VLOOKUP(B39,MS!$B:$K,10,0)</f>
        <v>23.373049000000002</v>
      </c>
      <c r="K39" s="5" t="str">
        <f>IFERROR(VLOOKUP(B39,Samples!$A:$A,1,0),"Not Found")</f>
        <v>Not Found</v>
      </c>
      <c r="L39" s="5">
        <f t="shared" si="1"/>
        <v>1</v>
      </c>
    </row>
    <row r="40" spans="1:12" s="13" customFormat="1" ht="22.05" customHeight="1">
      <c r="A40" s="17">
        <v>34</v>
      </c>
      <c r="B40" s="12" t="s">
        <v>139</v>
      </c>
      <c r="C40" s="18">
        <f>VLOOKUP(B40,MS!$B:$K,2,0)</f>
        <v>634.29735700000003</v>
      </c>
      <c r="D40" s="18">
        <f>VLOOKUP(B40,MS!$B:$K,3,0)</f>
        <v>15.524888000000001</v>
      </c>
      <c r="E40" s="18">
        <f>VLOOKUP(B40,MS!$B:$K,4,0)</f>
        <v>49.169967999999997</v>
      </c>
      <c r="F40" s="18">
        <f>VLOOKUP(B40,MS!$B:$K,5,0)</f>
        <v>14.903567000000001</v>
      </c>
      <c r="G40" s="18">
        <f>VLOOKUP(B40,MS!$B:$K,6,0)</f>
        <v>42.560102000000001</v>
      </c>
      <c r="H40" s="18">
        <f>VLOOKUP(B40,MS!$B:$K,7,0)</f>
        <v>83.093012000000002</v>
      </c>
      <c r="I40" s="18">
        <f>VLOOKUP(B40,MS!$B:$K,10,0)</f>
        <v>23.482163</v>
      </c>
      <c r="K40" s="5" t="str">
        <f>IFERROR(VLOOKUP(B40,Samples!$A:$A,1,0),"Not Found")</f>
        <v>Not Found</v>
      </c>
      <c r="L40" s="5">
        <f t="shared" si="1"/>
        <v>1</v>
      </c>
    </row>
    <row r="41" spans="1:12" s="13" customFormat="1" ht="22.05" customHeight="1">
      <c r="A41" s="17">
        <v>35</v>
      </c>
      <c r="B41" s="12" t="s">
        <v>140</v>
      </c>
      <c r="C41" s="18">
        <f>VLOOKUP(B41,MS!$B:$K,2,0)</f>
        <v>634.13913400000001</v>
      </c>
      <c r="D41" s="18">
        <f>VLOOKUP(B41,MS!$B:$K,3,0)</f>
        <v>15.540419</v>
      </c>
      <c r="E41" s="18">
        <f>VLOOKUP(B41,MS!$B:$K,4,0)</f>
        <v>49.258966999999998</v>
      </c>
      <c r="F41" s="18">
        <f>VLOOKUP(B41,MS!$B:$K,5,0)</f>
        <v>14.863865000000001</v>
      </c>
      <c r="G41" s="18">
        <f>VLOOKUP(B41,MS!$B:$K,6,0)</f>
        <v>42.663139000000001</v>
      </c>
      <c r="H41" s="18">
        <f>VLOOKUP(B41,MS!$B:$K,7,0)</f>
        <v>82.839318000000006</v>
      </c>
      <c r="I41" s="18">
        <f>VLOOKUP(B41,MS!$B:$K,10,0)</f>
        <v>23.476305</v>
      </c>
      <c r="K41" s="5" t="str">
        <f>IFERROR(VLOOKUP(B41,Samples!$A:$A,1,0),"Not Found")</f>
        <v>Not Found</v>
      </c>
      <c r="L41" s="5">
        <f t="shared" si="1"/>
        <v>1</v>
      </c>
    </row>
    <row r="42" spans="1:12" s="13" customFormat="1" ht="22.05" customHeight="1">
      <c r="A42" s="17">
        <v>36</v>
      </c>
      <c r="B42" s="12" t="s">
        <v>141</v>
      </c>
      <c r="C42" s="18">
        <f>VLOOKUP(B42,MS!$B:$K,2,0)</f>
        <v>632.28506400000003</v>
      </c>
      <c r="D42" s="18">
        <f>VLOOKUP(B42,MS!$B:$K,3,0)</f>
        <v>15.509072</v>
      </c>
      <c r="E42" s="18">
        <f>VLOOKUP(B42,MS!$B:$K,4,0)</f>
        <v>49.162768999999997</v>
      </c>
      <c r="F42" s="18">
        <f>VLOOKUP(B42,MS!$B:$K,5,0)</f>
        <v>14.840396999999999</v>
      </c>
      <c r="G42" s="18">
        <f>VLOOKUP(B42,MS!$B:$K,6,0)</f>
        <v>42.605668999999999</v>
      </c>
      <c r="H42" s="18">
        <f>VLOOKUP(B42,MS!$B:$K,7,0)</f>
        <v>82.926012</v>
      </c>
      <c r="I42" s="18">
        <f>VLOOKUP(B42,MS!$B:$K,10,0)</f>
        <v>23.407665999999999</v>
      </c>
      <c r="K42" s="5" t="str">
        <f>IFERROR(VLOOKUP(B42,Samples!$A:$A,1,0),"Not Found")</f>
        <v>Not Found</v>
      </c>
      <c r="L42" s="5">
        <f t="shared" si="1"/>
        <v>1</v>
      </c>
    </row>
    <row r="43" spans="1:12" s="13" customFormat="1" ht="22.05" customHeight="1">
      <c r="A43" s="17">
        <v>37</v>
      </c>
      <c r="B43" s="12" t="s">
        <v>142</v>
      </c>
      <c r="C43" s="18">
        <f>VLOOKUP(B43,MS!$B:$K,2,0)</f>
        <v>630.97371399999997</v>
      </c>
      <c r="D43" s="18">
        <f>VLOOKUP(B43,MS!$B:$K,3,0)</f>
        <v>15.533014</v>
      </c>
      <c r="E43" s="18">
        <f>VLOOKUP(B43,MS!$B:$K,4,0)</f>
        <v>48.969957999999998</v>
      </c>
      <c r="F43" s="18">
        <f>VLOOKUP(B43,MS!$B:$K,5,0)</f>
        <v>14.86373</v>
      </c>
      <c r="G43" s="18">
        <f>VLOOKUP(B43,MS!$B:$K,6,0)</f>
        <v>42.450564</v>
      </c>
      <c r="H43" s="18">
        <f>VLOOKUP(B43,MS!$B:$K,7,0)</f>
        <v>82.951796000000002</v>
      </c>
      <c r="I43" s="18">
        <f>VLOOKUP(B43,MS!$B:$K,10,0)</f>
        <v>23.359119</v>
      </c>
      <c r="K43" s="5" t="str">
        <f>IFERROR(VLOOKUP(B43,Samples!$A:$A,1,0),"Not Found")</f>
        <v>Not Found</v>
      </c>
      <c r="L43" s="5">
        <f t="shared" si="1"/>
        <v>1</v>
      </c>
    </row>
    <row r="44" spans="1:12" s="13" customFormat="1" ht="22.05" customHeight="1">
      <c r="A44" s="17">
        <v>38</v>
      </c>
      <c r="B44" s="12" t="s">
        <v>143</v>
      </c>
      <c r="C44" s="18">
        <f>VLOOKUP(B44,MS!$B:$K,2,0)</f>
        <v>634.34607700000004</v>
      </c>
      <c r="D44" s="18">
        <f>VLOOKUP(B44,MS!$B:$K,3,0)</f>
        <v>15.560069</v>
      </c>
      <c r="E44" s="18">
        <f>VLOOKUP(B44,MS!$B:$K,4,0)</f>
        <v>49.210507999999997</v>
      </c>
      <c r="F44" s="18">
        <f>VLOOKUP(B44,MS!$B:$K,5,0)</f>
        <v>14.866211</v>
      </c>
      <c r="G44" s="18">
        <f>VLOOKUP(B44,MS!$B:$K,6,0)</f>
        <v>42.670327</v>
      </c>
      <c r="H44" s="18">
        <f>VLOOKUP(B44,MS!$B:$K,7,0)</f>
        <v>82.843204999999998</v>
      </c>
      <c r="I44" s="18">
        <f>VLOOKUP(B44,MS!$B:$K,10,0)</f>
        <v>23.483965999999999</v>
      </c>
      <c r="K44" s="5" t="str">
        <f>IFERROR(VLOOKUP(B44,Samples!$A:$A,1,0),"Not Found")</f>
        <v>Not Found</v>
      </c>
      <c r="L44" s="5">
        <f t="shared" si="1"/>
        <v>1</v>
      </c>
    </row>
    <row r="45" spans="1:12" s="13" customFormat="1" ht="22.05" customHeight="1">
      <c r="A45" s="17">
        <v>39</v>
      </c>
      <c r="B45" s="12" t="s">
        <v>144</v>
      </c>
      <c r="C45" s="18">
        <f>VLOOKUP(B45,MS!$B:$K,2,0)</f>
        <v>637.94883200000004</v>
      </c>
      <c r="D45" s="18">
        <f>VLOOKUP(B45,MS!$B:$K,3,0)</f>
        <v>15.526835</v>
      </c>
      <c r="E45" s="18">
        <f>VLOOKUP(B45,MS!$B:$K,4,0)</f>
        <v>49.110239999999997</v>
      </c>
      <c r="F45" s="18">
        <f>VLOOKUP(B45,MS!$B:$K,5,0)</f>
        <v>14.979741000000001</v>
      </c>
      <c r="G45" s="18">
        <f>VLOOKUP(B45,MS!$B:$K,6,0)</f>
        <v>42.587440000000001</v>
      </c>
      <c r="H45" s="18">
        <f>VLOOKUP(B45,MS!$B:$K,7,0)</f>
        <v>83.662502000000003</v>
      </c>
      <c r="I45" s="18">
        <f>VLOOKUP(B45,MS!$B:$K,10,0)</f>
        <v>23.617343000000002</v>
      </c>
      <c r="K45" s="5" t="str">
        <f>IFERROR(VLOOKUP(B45,Samples!$A:$A,1,0),"Not Found")</f>
        <v>Not Found</v>
      </c>
      <c r="L45" s="5">
        <f t="shared" si="1"/>
        <v>1</v>
      </c>
    </row>
    <row r="46" spans="1:12" s="13" customFormat="1" ht="22.05" customHeight="1">
      <c r="A46" s="17">
        <v>40</v>
      </c>
      <c r="B46" s="12" t="s">
        <v>145</v>
      </c>
      <c r="C46" s="18">
        <f>VLOOKUP(B46,MS!$B:$K,2,0)</f>
        <v>634.22087799999997</v>
      </c>
      <c r="D46" s="18">
        <f>VLOOKUP(B46,MS!$B:$K,3,0)</f>
        <v>15.566774000000001</v>
      </c>
      <c r="E46" s="18">
        <f>VLOOKUP(B46,MS!$B:$K,4,0)</f>
        <v>48.972982999999999</v>
      </c>
      <c r="F46" s="18">
        <f>VLOOKUP(B46,MS!$B:$K,5,0)</f>
        <v>14.937237</v>
      </c>
      <c r="G46" s="18">
        <f>VLOOKUP(B46,MS!$B:$K,6,0)</f>
        <v>42.459049999999998</v>
      </c>
      <c r="H46" s="18">
        <f>VLOOKUP(B46,MS!$B:$K,7,0)</f>
        <v>83.192727000000005</v>
      </c>
      <c r="I46" s="18">
        <f>VLOOKUP(B46,MS!$B:$K,10,0)</f>
        <v>23.479330999999998</v>
      </c>
      <c r="K46" s="5" t="str">
        <f>IFERROR(VLOOKUP(B46,Samples!$A:$A,1,0),"Not Found")</f>
        <v>Not Found</v>
      </c>
      <c r="L46" s="5">
        <f t="shared" si="1"/>
        <v>1</v>
      </c>
    </row>
    <row r="47" spans="1:12" s="13" customFormat="1" ht="22.05" customHeight="1">
      <c r="A47" s="17">
        <v>41</v>
      </c>
      <c r="B47" s="12" t="s">
        <v>146</v>
      </c>
      <c r="C47" s="18">
        <f>VLOOKUP(B47,MS!$B:$K,2,0)</f>
        <v>630.88842</v>
      </c>
      <c r="D47" s="18">
        <f>VLOOKUP(B47,MS!$B:$K,3,0)</f>
        <v>15.571439</v>
      </c>
      <c r="E47" s="18">
        <f>VLOOKUP(B47,MS!$B:$K,4,0)</f>
        <v>48.832286000000003</v>
      </c>
      <c r="F47" s="18">
        <f>VLOOKUP(B47,MS!$B:$K,5,0)</f>
        <v>14.89794</v>
      </c>
      <c r="G47" s="18">
        <f>VLOOKUP(B47,MS!$B:$K,6,0)</f>
        <v>42.347358999999997</v>
      </c>
      <c r="H47" s="18">
        <f>VLOOKUP(B47,MS!$B:$K,7,0)</f>
        <v>82.969170000000005</v>
      </c>
      <c r="I47" s="18">
        <f>VLOOKUP(B47,MS!$B:$K,10,0)</f>
        <v>23.355961000000001</v>
      </c>
      <c r="K47" s="5" t="str">
        <f>IFERROR(VLOOKUP(B47,Samples!$A:$A,1,0),"Not Found")</f>
        <v>Not Found</v>
      </c>
      <c r="L47" s="5">
        <f t="shared" si="1"/>
        <v>1</v>
      </c>
    </row>
    <row r="48" spans="1:12" s="13" customFormat="1" ht="22.05" customHeight="1">
      <c r="A48" s="17">
        <v>42</v>
      </c>
      <c r="B48" s="12" t="s">
        <v>147</v>
      </c>
      <c r="C48" s="18">
        <f>VLOOKUP(B48,MS!$B:$K,2,0)</f>
        <v>632.14372700000001</v>
      </c>
      <c r="D48" s="18">
        <f>VLOOKUP(B48,MS!$B:$K,3,0)</f>
        <v>15.51262</v>
      </c>
      <c r="E48" s="18">
        <f>VLOOKUP(B48,MS!$B:$K,4,0)</f>
        <v>49.142046999999998</v>
      </c>
      <c r="F48" s="18">
        <f>VLOOKUP(B48,MS!$B:$K,5,0)</f>
        <v>14.974574</v>
      </c>
      <c r="G48" s="18">
        <f>VLOOKUP(B48,MS!$B:$K,6,0)</f>
        <v>42.214471000000003</v>
      </c>
      <c r="H48" s="18">
        <f>VLOOKUP(B48,MS!$B:$K,7,0)</f>
        <v>82.923466000000005</v>
      </c>
      <c r="I48" s="18">
        <f>VLOOKUP(B48,MS!$B:$K,10,0)</f>
        <v>23.402434</v>
      </c>
      <c r="K48" s="5" t="str">
        <f>IFERROR(VLOOKUP(B48,Samples!$A:$A,1,0),"Not Found")</f>
        <v>Not Found</v>
      </c>
      <c r="L48" s="5">
        <f t="shared" si="1"/>
        <v>1</v>
      </c>
    </row>
    <row r="49" spans="1:12" s="13" customFormat="1" ht="22.05" customHeight="1">
      <c r="A49" s="17">
        <v>43</v>
      </c>
      <c r="B49" s="12" t="s">
        <v>148</v>
      </c>
      <c r="C49" s="18">
        <f>VLOOKUP(B49,MS!$B:$K,2,0)</f>
        <v>632.14400499999999</v>
      </c>
      <c r="D49" s="18">
        <f>VLOOKUP(B49,MS!$B:$K,3,0)</f>
        <v>15.515378</v>
      </c>
      <c r="E49" s="18">
        <f>VLOOKUP(B49,MS!$B:$K,4,0)</f>
        <v>49.059677000000001</v>
      </c>
      <c r="F49" s="18">
        <f>VLOOKUP(B49,MS!$B:$K,5,0)</f>
        <v>14.883291</v>
      </c>
      <c r="G49" s="18">
        <f>VLOOKUP(B49,MS!$B:$K,6,0)</f>
        <v>42.473402</v>
      </c>
      <c r="H49" s="18">
        <f>VLOOKUP(B49,MS!$B:$K,7,0)</f>
        <v>83.047963999999993</v>
      </c>
      <c r="I49" s="18">
        <f>VLOOKUP(B49,MS!$B:$K,10,0)</f>
        <v>23.402443999999999</v>
      </c>
      <c r="K49" s="5" t="str">
        <f>IFERROR(VLOOKUP(B49,Samples!$A:$A,1,0),"Not Found")</f>
        <v>Not Found</v>
      </c>
      <c r="L49" s="5">
        <f t="shared" si="1"/>
        <v>1</v>
      </c>
    </row>
    <row r="50" spans="1:12" ht="21">
      <c r="A50" s="17">
        <v>44</v>
      </c>
      <c r="B50" s="12" t="s">
        <v>149</v>
      </c>
      <c r="C50" s="18">
        <f>VLOOKUP(B50,MS!$B:$K,2,0)</f>
        <v>635.664534</v>
      </c>
      <c r="D50" s="18">
        <f>VLOOKUP(B50,MS!$B:$K,3,0)</f>
        <v>15.557881</v>
      </c>
      <c r="E50" s="18">
        <f>VLOOKUP(B50,MS!$B:$K,4,0)</f>
        <v>49.158394999999999</v>
      </c>
      <c r="F50" s="18">
        <f>VLOOKUP(B50,MS!$B:$K,5,0)</f>
        <v>14.895352000000001</v>
      </c>
      <c r="G50" s="18">
        <f>VLOOKUP(B50,MS!$B:$K,6,0)</f>
        <v>42.675362999999997</v>
      </c>
      <c r="H50" s="18">
        <f>VLOOKUP(B50,MS!$B:$K,7,0)</f>
        <v>83.115082000000001</v>
      </c>
      <c r="I50" s="18">
        <f>VLOOKUP(B50,MS!$B:$K,10,0)</f>
        <v>23.532775999999998</v>
      </c>
      <c r="K50" s="5" t="str">
        <f>IFERROR(VLOOKUP(B50,Samples!$A:$A,1,0),"Not Found")</f>
        <v>Not Found</v>
      </c>
      <c r="L50" s="5">
        <f t="shared" si="1"/>
        <v>1</v>
      </c>
    </row>
    <row r="51" spans="1:12" ht="21">
      <c r="A51" s="17">
        <v>45</v>
      </c>
      <c r="B51" s="12" t="s">
        <v>150</v>
      </c>
      <c r="C51" s="18">
        <f>VLOOKUP(B51,MS!$B:$K,2,0)</f>
        <v>631.45349599999997</v>
      </c>
      <c r="D51" s="18">
        <f>VLOOKUP(B51,MS!$B:$K,3,0)</f>
        <v>15.523296</v>
      </c>
      <c r="E51" s="18">
        <f>VLOOKUP(B51,MS!$B:$K,4,0)</f>
        <v>49.096642000000003</v>
      </c>
      <c r="F51" s="18">
        <f>VLOOKUP(B51,MS!$B:$K,5,0)</f>
        <v>14.841651000000001</v>
      </c>
      <c r="G51" s="18">
        <f>VLOOKUP(B51,MS!$B:$K,6,0)</f>
        <v>42.546041000000002</v>
      </c>
      <c r="H51" s="18">
        <f>VLOOKUP(B51,MS!$B:$K,7,0)</f>
        <v>82.852504999999994</v>
      </c>
      <c r="I51" s="18">
        <f>VLOOKUP(B51,MS!$B:$K,10,0)</f>
        <v>23.376881000000001</v>
      </c>
      <c r="K51" s="5" t="str">
        <f>IFERROR(VLOOKUP(B51,Samples!$A:$A,1,0),"Not Found")</f>
        <v>Not Found</v>
      </c>
      <c r="L51" s="5">
        <f t="shared" si="1"/>
        <v>1</v>
      </c>
    </row>
    <row r="52" spans="1:12" ht="21">
      <c r="A52" s="17">
        <v>46</v>
      </c>
      <c r="B52" s="12" t="s">
        <v>151</v>
      </c>
      <c r="C52" s="18">
        <f>VLOOKUP(B52,MS!$B:$K,2,0)</f>
        <v>630.31501500000002</v>
      </c>
      <c r="D52" s="18">
        <f>VLOOKUP(B52,MS!$B:$K,3,0)</f>
        <v>15.471050999999999</v>
      </c>
      <c r="E52" s="18">
        <f>VLOOKUP(B52,MS!$B:$K,4,0)</f>
        <v>49.083589000000003</v>
      </c>
      <c r="F52" s="18">
        <f>VLOOKUP(B52,MS!$B:$K,5,0)</f>
        <v>14.793234</v>
      </c>
      <c r="G52" s="18">
        <f>VLOOKUP(B52,MS!$B:$K,6,0)</f>
        <v>42.608330000000002</v>
      </c>
      <c r="H52" s="18">
        <f>VLOOKUP(B52,MS!$B:$K,7,0)</f>
        <v>83.004480000000001</v>
      </c>
      <c r="I52" s="18">
        <f>VLOOKUP(B52,MS!$B:$K,10,0)</f>
        <v>23.334733</v>
      </c>
      <c r="K52" s="5" t="str">
        <f>IFERROR(VLOOKUP(B52,Samples!$A:$A,1,0),"Not Found")</f>
        <v>Not Found</v>
      </c>
      <c r="L52" s="5">
        <f t="shared" si="1"/>
        <v>1</v>
      </c>
    </row>
    <row r="53" spans="1:12" ht="21">
      <c r="A53" s="17">
        <v>47</v>
      </c>
      <c r="B53" s="12" t="s">
        <v>152</v>
      </c>
      <c r="C53" s="18">
        <f>VLOOKUP(B53,MS!$B:$K,2,0)</f>
        <v>633.44043999999997</v>
      </c>
      <c r="D53" s="18">
        <f>VLOOKUP(B53,MS!$B:$K,3,0)</f>
        <v>15.512281</v>
      </c>
      <c r="E53" s="18">
        <f>VLOOKUP(B53,MS!$B:$K,4,0)</f>
        <v>49.139000000000003</v>
      </c>
      <c r="F53" s="18">
        <f>VLOOKUP(B53,MS!$B:$K,5,0)</f>
        <v>14.856885</v>
      </c>
      <c r="G53" s="18">
        <f>VLOOKUP(B53,MS!$B:$K,6,0)</f>
        <v>42.636155000000002</v>
      </c>
      <c r="H53" s="18">
        <f>VLOOKUP(B53,MS!$B:$K,7,0)</f>
        <v>83.100533999999996</v>
      </c>
      <c r="I53" s="18">
        <f>VLOOKUP(B53,MS!$B:$K,10,0)</f>
        <v>23.450438999999999</v>
      </c>
      <c r="K53" s="5" t="str">
        <f>IFERROR(VLOOKUP(B53,Samples!$A:$A,1,0),"Not Found")</f>
        <v>Not Found</v>
      </c>
      <c r="L53" s="5">
        <f t="shared" si="1"/>
        <v>1</v>
      </c>
    </row>
    <row r="54" spans="1:12" ht="21">
      <c r="A54" s="17">
        <v>48</v>
      </c>
      <c r="B54" s="12" t="s">
        <v>153</v>
      </c>
      <c r="C54" s="18">
        <f>VLOOKUP(B54,MS!$B:$K,2,0)</f>
        <v>631.81248200000005</v>
      </c>
      <c r="D54" s="18">
        <f>VLOOKUP(B54,MS!$B:$K,3,0)</f>
        <v>15.586923000000001</v>
      </c>
      <c r="E54" s="18">
        <f>VLOOKUP(B54,MS!$B:$K,4,0)</f>
        <v>48.915967000000002</v>
      </c>
      <c r="F54" s="18">
        <f>VLOOKUP(B54,MS!$B:$K,5,0)</f>
        <v>14.906036</v>
      </c>
      <c r="G54" s="18">
        <f>VLOOKUP(B54,MS!$B:$K,6,0)</f>
        <v>42.38635</v>
      </c>
      <c r="H54" s="18">
        <f>VLOOKUP(B54,MS!$B:$K,7,0)</f>
        <v>82.866152999999997</v>
      </c>
      <c r="I54" s="18">
        <f>VLOOKUP(B54,MS!$B:$K,10,0)</f>
        <v>23.390170999999999</v>
      </c>
      <c r="K54" s="5" t="str">
        <f>IFERROR(VLOOKUP(B54,Samples!$A:$A,1,0),"Not Found")</f>
        <v>Not Found</v>
      </c>
      <c r="L54" s="5">
        <f t="shared" si="1"/>
        <v>1</v>
      </c>
    </row>
    <row r="55" spans="1:12" ht="21">
      <c r="A55" s="17">
        <v>49</v>
      </c>
      <c r="B55" s="12" t="s">
        <v>154</v>
      </c>
      <c r="C55" s="18">
        <f>VLOOKUP(B55,MS!$B:$K,2,0)</f>
        <v>635.35849299999995</v>
      </c>
      <c r="D55" s="18">
        <f>VLOOKUP(B55,MS!$B:$K,3,0)</f>
        <v>15.556683</v>
      </c>
      <c r="E55" s="18">
        <f>VLOOKUP(B55,MS!$B:$K,4,0)</f>
        <v>49.133637</v>
      </c>
      <c r="F55" s="18">
        <f>VLOOKUP(B55,MS!$B:$K,5,0)</f>
        <v>14.907282</v>
      </c>
      <c r="G55" s="18">
        <f>VLOOKUP(B55,MS!$B:$K,6,0)</f>
        <v>42.620679000000003</v>
      </c>
      <c r="H55" s="18">
        <f>VLOOKUP(B55,MS!$B:$K,7,0)</f>
        <v>83.123324999999994</v>
      </c>
      <c r="I55" s="18">
        <f>VLOOKUP(B55,MS!$B:$K,10,0)</f>
        <v>23.521446999999998</v>
      </c>
      <c r="K55" s="5" t="str">
        <f>IFERROR(VLOOKUP(B55,Samples!$A:$A,1,0),"Not Found")</f>
        <v>Not Found</v>
      </c>
      <c r="L55" s="5">
        <f t="shared" si="1"/>
        <v>1</v>
      </c>
    </row>
    <row r="56" spans="1:12" ht="21">
      <c r="A56" s="17">
        <v>50</v>
      </c>
      <c r="B56" s="12" t="s">
        <v>155</v>
      </c>
      <c r="C56" s="18">
        <f>VLOOKUP(B56,MS!$B:$K,2,0)</f>
        <v>634.29625699999997</v>
      </c>
      <c r="D56" s="18">
        <f>VLOOKUP(B56,MS!$B:$K,3,0)</f>
        <v>15.574999</v>
      </c>
      <c r="E56" s="18">
        <f>VLOOKUP(B56,MS!$B:$K,4,0)</f>
        <v>49.157940000000004</v>
      </c>
      <c r="F56" s="18">
        <f>VLOOKUP(B56,MS!$B:$K,5,0)</f>
        <v>14.898215</v>
      </c>
      <c r="G56" s="18">
        <f>VLOOKUP(B56,MS!$B:$K,6,0)</f>
        <v>42.575319</v>
      </c>
      <c r="H56" s="18">
        <f>VLOOKUP(B56,MS!$B:$K,7,0)</f>
        <v>82.845791000000006</v>
      </c>
      <c r="I56" s="18">
        <f>VLOOKUP(B56,MS!$B:$K,10,0)</f>
        <v>23.482122</v>
      </c>
      <c r="K56" s="5" t="str">
        <f>IFERROR(VLOOKUP(B56,Samples!$A:$A,1,0),"Not Found")</f>
        <v>Not Found</v>
      </c>
      <c r="L56" s="5">
        <f t="shared" si="1"/>
        <v>1</v>
      </c>
    </row>
    <row r="57" spans="1:12" ht="21">
      <c r="A57" s="17">
        <v>51</v>
      </c>
      <c r="B57" s="12" t="s">
        <v>156</v>
      </c>
      <c r="C57" s="18">
        <f>VLOOKUP(B57,MS!$B:$K,2,0)</f>
        <v>631.55559500000004</v>
      </c>
      <c r="D57" s="18">
        <f>VLOOKUP(B57,MS!$B:$K,3,0)</f>
        <v>15.587726</v>
      </c>
      <c r="E57" s="18">
        <f>VLOOKUP(B57,MS!$B:$K,4,0)</f>
        <v>48.850579000000003</v>
      </c>
      <c r="F57" s="18">
        <f>VLOOKUP(B57,MS!$B:$K,5,0)</f>
        <v>14.917184000000001</v>
      </c>
      <c r="G57" s="18">
        <f>VLOOKUP(B57,MS!$B:$K,6,0)</f>
        <v>42.337452999999996</v>
      </c>
      <c r="H57" s="18">
        <f>VLOOKUP(B57,MS!$B:$K,7,0)</f>
        <v>82.939062000000007</v>
      </c>
      <c r="I57" s="18">
        <f>VLOOKUP(B57,MS!$B:$K,10,0)</f>
        <v>23.380659999999999</v>
      </c>
      <c r="K57" s="5" t="str">
        <f>IFERROR(VLOOKUP(B57,Samples!$A:$A,1,0),"Not Found")</f>
        <v>Not Found</v>
      </c>
      <c r="L57" s="5">
        <f t="shared" si="1"/>
        <v>1</v>
      </c>
    </row>
    <row r="58" spans="1:12" ht="21">
      <c r="A58" s="17">
        <v>52</v>
      </c>
      <c r="B58" s="12" t="s">
        <v>157</v>
      </c>
      <c r="C58" s="18">
        <f>VLOOKUP(B58,MS!$B:$K,2,0)</f>
        <v>631.41994499999998</v>
      </c>
      <c r="D58" s="18">
        <f>VLOOKUP(B58,MS!$B:$K,3,0)</f>
        <v>15.584028</v>
      </c>
      <c r="E58" s="18">
        <f>VLOOKUP(B58,MS!$B:$K,4,0)</f>
        <v>48.878898999999997</v>
      </c>
      <c r="F58" s="18">
        <f>VLOOKUP(B58,MS!$B:$K,5,0)</f>
        <v>14.896724000000001</v>
      </c>
      <c r="G58" s="18">
        <f>VLOOKUP(B58,MS!$B:$K,6,0)</f>
        <v>42.386496000000001</v>
      </c>
      <c r="H58" s="18">
        <f>VLOOKUP(B58,MS!$B:$K,7,0)</f>
        <v>82.892865999999998</v>
      </c>
      <c r="I58" s="18">
        <f>VLOOKUP(B58,MS!$B:$K,10,0)</f>
        <v>23.375639</v>
      </c>
      <c r="K58" s="5" t="str">
        <f>IFERROR(VLOOKUP(B58,Samples!$A:$A,1,0),"Not Found")</f>
        <v>Not Found</v>
      </c>
      <c r="L58" s="5">
        <f t="shared" ref="L58:L87" si="2">COUNTIF($B$6:$B$1048576,B58)</f>
        <v>1</v>
      </c>
    </row>
    <row r="59" spans="1:12" ht="21">
      <c r="A59" s="17">
        <v>53</v>
      </c>
      <c r="B59" s="12" t="s">
        <v>158</v>
      </c>
      <c r="C59" s="18">
        <f>VLOOKUP(B59,MS!$B:$K,2,0)</f>
        <v>629.248831</v>
      </c>
      <c r="D59" s="18">
        <f>VLOOKUP(B59,MS!$B:$K,3,0)</f>
        <v>15.581137</v>
      </c>
      <c r="E59" s="18">
        <f>VLOOKUP(B59,MS!$B:$K,4,0)</f>
        <v>48.789462</v>
      </c>
      <c r="F59" s="18">
        <f>VLOOKUP(B59,MS!$B:$K,5,0)</f>
        <v>15.041198</v>
      </c>
      <c r="G59" s="18">
        <f>VLOOKUP(B59,MS!$B:$K,6,0)</f>
        <v>41.83502</v>
      </c>
      <c r="H59" s="18">
        <f>VLOOKUP(B59,MS!$B:$K,7,0)</f>
        <v>82.774626999999995</v>
      </c>
      <c r="I59" s="18">
        <f>VLOOKUP(B59,MS!$B:$K,10,0)</f>
        <v>23.295262000000001</v>
      </c>
      <c r="K59" s="5" t="str">
        <f>IFERROR(VLOOKUP(B59,Samples!$A:$A,1,0),"Not Found")</f>
        <v>Not Found</v>
      </c>
      <c r="L59" s="5">
        <f t="shared" si="2"/>
        <v>1</v>
      </c>
    </row>
    <row r="60" spans="1:12" ht="21">
      <c r="A60" s="17">
        <v>54</v>
      </c>
      <c r="B60" s="12" t="s">
        <v>159</v>
      </c>
      <c r="C60" s="18">
        <f>VLOOKUP(B60,MS!$B:$K,2,0)</f>
        <v>637.34569299999998</v>
      </c>
      <c r="D60" s="18">
        <f>VLOOKUP(B60,MS!$B:$K,3,0)</f>
        <v>15.558128</v>
      </c>
      <c r="E60" s="18">
        <f>VLOOKUP(B60,MS!$B:$K,4,0)</f>
        <v>49.210115000000002</v>
      </c>
      <c r="F60" s="18">
        <f>VLOOKUP(B60,MS!$B:$K,5,0)</f>
        <v>14.92625</v>
      </c>
      <c r="G60" s="18">
        <f>VLOOKUP(B60,MS!$B:$K,6,0)</f>
        <v>42.699652999999998</v>
      </c>
      <c r="H60" s="18">
        <f>VLOOKUP(B60,MS!$B:$K,7,0)</f>
        <v>83.245993999999996</v>
      </c>
      <c r="I60" s="18">
        <f>VLOOKUP(B60,MS!$B:$K,10,0)</f>
        <v>23.595013999999999</v>
      </c>
      <c r="K60" s="5" t="str">
        <f>IFERROR(VLOOKUP(B60,Samples!$A:$A,1,0),"Not Found")</f>
        <v>Not Found</v>
      </c>
      <c r="L60" s="5">
        <f t="shared" si="2"/>
        <v>1</v>
      </c>
    </row>
    <row r="61" spans="1:12" ht="21">
      <c r="A61" s="17">
        <v>55</v>
      </c>
      <c r="B61" s="12" t="s">
        <v>160</v>
      </c>
      <c r="C61" s="18">
        <f>VLOOKUP(B61,MS!$B:$K,2,0)</f>
        <v>630.52178400000003</v>
      </c>
      <c r="D61" s="18">
        <f>VLOOKUP(B61,MS!$B:$K,3,0)</f>
        <v>15.577845</v>
      </c>
      <c r="E61" s="18">
        <f>VLOOKUP(B61,MS!$B:$K,4,0)</f>
        <v>48.808314000000003</v>
      </c>
      <c r="F61" s="18">
        <f>VLOOKUP(B61,MS!$B:$K,5,0)</f>
        <v>14.902246</v>
      </c>
      <c r="G61" s="18">
        <f>VLOOKUP(B61,MS!$B:$K,6,0)</f>
        <v>42.310521000000001</v>
      </c>
      <c r="H61" s="18">
        <f>VLOOKUP(B61,MS!$B:$K,7,0)</f>
        <v>82.927564000000004</v>
      </c>
      <c r="I61" s="18">
        <f>VLOOKUP(B61,MS!$B:$K,10,0)</f>
        <v>23.342388</v>
      </c>
      <c r="K61" s="5" t="str">
        <f>IFERROR(VLOOKUP(B61,Samples!$A:$A,1,0),"Not Found")</f>
        <v>Not Found</v>
      </c>
      <c r="L61" s="5">
        <f t="shared" si="2"/>
        <v>1</v>
      </c>
    </row>
    <row r="62" spans="1:12" ht="21">
      <c r="A62" s="17">
        <v>56</v>
      </c>
      <c r="B62" s="12" t="s">
        <v>161</v>
      </c>
      <c r="C62" s="18">
        <f>VLOOKUP(B62,MS!$B:$K,2,0)</f>
        <v>636.338932</v>
      </c>
      <c r="D62" s="18">
        <f>VLOOKUP(B62,MS!$B:$K,3,0)</f>
        <v>15.587137</v>
      </c>
      <c r="E62" s="18">
        <f>VLOOKUP(B62,MS!$B:$K,4,0)</f>
        <v>49.201779000000002</v>
      </c>
      <c r="F62" s="18">
        <f>VLOOKUP(B62,MS!$B:$K,5,0)</f>
        <v>14.921315</v>
      </c>
      <c r="G62" s="18">
        <f>VLOOKUP(B62,MS!$B:$K,6,0)</f>
        <v>42.646304999999998</v>
      </c>
      <c r="H62" s="18">
        <f>VLOOKUP(B62,MS!$B:$K,7,0)</f>
        <v>82.973865000000004</v>
      </c>
      <c r="I62" s="18">
        <f>VLOOKUP(B62,MS!$B:$K,10,0)</f>
        <v>23.557742999999999</v>
      </c>
      <c r="K62" s="5" t="str">
        <f>IFERROR(VLOOKUP(B62,Samples!$A:$A,1,0),"Not Found")</f>
        <v>Not Found</v>
      </c>
      <c r="L62" s="5">
        <f t="shared" si="2"/>
        <v>1</v>
      </c>
    </row>
    <row r="63" spans="1:12" ht="21">
      <c r="A63" s="17">
        <v>57</v>
      </c>
      <c r="B63" s="12" t="s">
        <v>162</v>
      </c>
      <c r="C63" s="18">
        <f>VLOOKUP(B63,MS!$B:$K,2,0)</f>
        <v>632.94123200000001</v>
      </c>
      <c r="D63" s="18">
        <f>VLOOKUP(B63,MS!$B:$K,3,0)</f>
        <v>15.595596</v>
      </c>
      <c r="E63" s="18">
        <f>VLOOKUP(B63,MS!$B:$K,4,0)</f>
        <v>48.885657999999999</v>
      </c>
      <c r="F63" s="18">
        <f>VLOOKUP(B63,MS!$B:$K,5,0)</f>
        <v>14.962353999999999</v>
      </c>
      <c r="G63" s="18">
        <f>VLOOKUP(B63,MS!$B:$K,6,0)</f>
        <v>42.302249000000003</v>
      </c>
      <c r="H63" s="18">
        <f>VLOOKUP(B63,MS!$B:$K,7,0)</f>
        <v>83.019470999999996</v>
      </c>
      <c r="I63" s="18">
        <f>VLOOKUP(B63,MS!$B:$K,10,0)</f>
        <v>23.431958000000002</v>
      </c>
      <c r="K63" s="5" t="str">
        <f>IFERROR(VLOOKUP(B63,Samples!$A:$A,1,0),"Not Found")</f>
        <v>Not Found</v>
      </c>
      <c r="L63" s="5">
        <f t="shared" si="2"/>
        <v>1</v>
      </c>
    </row>
    <row r="64" spans="1:12" ht="21">
      <c r="A64" s="17">
        <v>58</v>
      </c>
      <c r="B64" s="12" t="s">
        <v>163</v>
      </c>
      <c r="C64" s="18">
        <f>VLOOKUP(B64,MS!$B:$K,2,0)</f>
        <v>634.36112200000002</v>
      </c>
      <c r="D64" s="18">
        <f>VLOOKUP(B64,MS!$B:$K,3,0)</f>
        <v>15.562749999999999</v>
      </c>
      <c r="E64" s="18">
        <f>VLOOKUP(B64,MS!$B:$K,4,0)</f>
        <v>49.258007999999997</v>
      </c>
      <c r="F64" s="18">
        <f>VLOOKUP(B64,MS!$B:$K,5,0)</f>
        <v>15.010052999999999</v>
      </c>
      <c r="G64" s="18">
        <f>VLOOKUP(B64,MS!$B:$K,6,0)</f>
        <v>42.262416000000002</v>
      </c>
      <c r="H64" s="18">
        <f>VLOOKUP(B64,MS!$B:$K,7,0)</f>
        <v>82.751024000000001</v>
      </c>
      <c r="I64" s="18">
        <f>VLOOKUP(B64,MS!$B:$K,10,0)</f>
        <v>23.484522999999999</v>
      </c>
      <c r="K64" s="5" t="str">
        <f>IFERROR(VLOOKUP(B64,Samples!$A:$A,1,0),"Not Found")</f>
        <v>Not Found</v>
      </c>
      <c r="L64" s="5">
        <f t="shared" si="2"/>
        <v>1</v>
      </c>
    </row>
    <row r="65" spans="1:12" ht="21">
      <c r="A65" s="17">
        <v>59</v>
      </c>
      <c r="B65" s="12" t="s">
        <v>164</v>
      </c>
      <c r="C65" s="18">
        <f>VLOOKUP(B65,MS!$B:$K,2,0)</f>
        <v>633.69924800000001</v>
      </c>
      <c r="D65" s="18">
        <f>VLOOKUP(B65,MS!$B:$K,3,0)</f>
        <v>15.555761</v>
      </c>
      <c r="E65" s="18">
        <f>VLOOKUP(B65,MS!$B:$K,4,0)</f>
        <v>49.097084000000002</v>
      </c>
      <c r="F65" s="18">
        <f>VLOOKUP(B65,MS!$B:$K,5,0)</f>
        <v>14.896887</v>
      </c>
      <c r="G65" s="18">
        <f>VLOOKUP(B65,MS!$B:$K,6,0)</f>
        <v>42.539039000000002</v>
      </c>
      <c r="H65" s="18">
        <f>VLOOKUP(B65,MS!$B:$K,7,0)</f>
        <v>82.972893999999997</v>
      </c>
      <c r="I65" s="18">
        <f>VLOOKUP(B65,MS!$B:$K,10,0)</f>
        <v>23.46002</v>
      </c>
      <c r="K65" s="5" t="str">
        <f>IFERROR(VLOOKUP(B65,Samples!$A:$A,1,0),"Not Found")</f>
        <v>Not Found</v>
      </c>
      <c r="L65" s="5">
        <f t="shared" si="2"/>
        <v>1</v>
      </c>
    </row>
    <row r="66" spans="1:12" ht="21">
      <c r="A66" s="17">
        <v>60</v>
      </c>
      <c r="B66" s="12" t="s">
        <v>165</v>
      </c>
      <c r="C66" s="18">
        <f>VLOOKUP(B66,MS!$B:$K,2,0)</f>
        <v>628.71332700000005</v>
      </c>
      <c r="D66" s="18">
        <f>VLOOKUP(B66,MS!$B:$K,3,0)</f>
        <v>15.498348999999999</v>
      </c>
      <c r="E66" s="18">
        <f>VLOOKUP(B66,MS!$B:$K,4,0)</f>
        <v>49.164954999999999</v>
      </c>
      <c r="F66" s="18">
        <f>VLOOKUP(B66,MS!$B:$K,5,0)</f>
        <v>14.78641</v>
      </c>
      <c r="G66" s="18">
        <f>VLOOKUP(B66,MS!$B:$K,6,0)</f>
        <v>42.519672999999997</v>
      </c>
      <c r="H66" s="18">
        <f>VLOOKUP(B66,MS!$B:$K,7,0)</f>
        <v>82.510951000000006</v>
      </c>
      <c r="I66" s="18">
        <f>VLOOKUP(B66,MS!$B:$K,10,0)</f>
        <v>23.275438000000001</v>
      </c>
      <c r="K66" s="5" t="str">
        <f>IFERROR(VLOOKUP(B66,Samples!$A:$A,1,0),"Not Found")</f>
        <v>Not Found</v>
      </c>
      <c r="L66" s="5">
        <f t="shared" si="2"/>
        <v>1</v>
      </c>
    </row>
    <row r="67" spans="1:12" ht="21">
      <c r="A67" s="17">
        <v>61</v>
      </c>
      <c r="B67" s="12" t="s">
        <v>166</v>
      </c>
      <c r="C67" s="18">
        <f>VLOOKUP(B67,MS!$B:$K,2,0)</f>
        <v>627.36485300000004</v>
      </c>
      <c r="D67" s="18">
        <f>VLOOKUP(B67,MS!$B:$K,3,0)</f>
        <v>16.692682999999999</v>
      </c>
      <c r="E67" s="18">
        <f>VLOOKUP(B67,MS!$B:$K,4,0)</f>
        <v>49.120776999999997</v>
      </c>
      <c r="F67" s="18">
        <f>VLOOKUP(B67,MS!$B:$K,5,0)</f>
        <v>15.644245</v>
      </c>
      <c r="G67" s="18">
        <f>VLOOKUP(B67,MS!$B:$K,6,0)</f>
        <v>40.125801000000003</v>
      </c>
      <c r="H67" s="18">
        <f>VLOOKUP(B67,MS!$B:$K,7,0)</f>
        <v>76.511870999999999</v>
      </c>
      <c r="I67" s="18">
        <f>VLOOKUP(B67,MS!$B:$K,10,0)</f>
        <v>23.225515999999999</v>
      </c>
      <c r="K67" s="5" t="str">
        <f>IFERROR(VLOOKUP(B67,Samples!$A:$A,1,0),"Not Found")</f>
        <v>Not Found</v>
      </c>
      <c r="L67" s="5">
        <f t="shared" si="2"/>
        <v>1</v>
      </c>
    </row>
    <row r="68" spans="1:12" ht="21">
      <c r="A68" s="17">
        <v>62</v>
      </c>
      <c r="B68" s="12" t="s">
        <v>167</v>
      </c>
      <c r="C68" s="18">
        <f>VLOOKUP(B68,MS!$B:$K,2,0)</f>
        <v>636.91701499999999</v>
      </c>
      <c r="D68" s="18">
        <f>VLOOKUP(B68,MS!$B:$K,3,0)</f>
        <v>15.648448</v>
      </c>
      <c r="E68" s="18">
        <f>VLOOKUP(B68,MS!$B:$K,4,0)</f>
        <v>49.136704999999999</v>
      </c>
      <c r="F68" s="18">
        <f>VLOOKUP(B68,MS!$B:$K,5,0)</f>
        <v>14.940243000000001</v>
      </c>
      <c r="G68" s="18">
        <f>VLOOKUP(B68,MS!$B:$K,6,0)</f>
        <v>42.630968000000003</v>
      </c>
      <c r="H68" s="18">
        <f>VLOOKUP(B68,MS!$B:$K,7,0)</f>
        <v>82.833412999999993</v>
      </c>
      <c r="I68" s="18">
        <f>VLOOKUP(B68,MS!$B:$K,10,0)</f>
        <v>23.579143999999999</v>
      </c>
      <c r="K68" s="5" t="str">
        <f>IFERROR(VLOOKUP(B68,Samples!$A:$A,1,0),"Not Found")</f>
        <v>Not Found</v>
      </c>
      <c r="L68" s="5">
        <f t="shared" si="2"/>
        <v>1</v>
      </c>
    </row>
    <row r="69" spans="1:12" ht="21">
      <c r="A69" s="17">
        <v>63</v>
      </c>
      <c r="B69" s="12" t="s">
        <v>168</v>
      </c>
      <c r="C69" s="18">
        <f>VLOOKUP(B69,MS!$B:$K,2,0)</f>
        <v>631.75201200000004</v>
      </c>
      <c r="D69" s="18">
        <f>VLOOKUP(B69,MS!$B:$K,3,0)</f>
        <v>15.585974</v>
      </c>
      <c r="E69" s="18">
        <f>VLOOKUP(B69,MS!$B:$K,4,0)</f>
        <v>48.861226000000002</v>
      </c>
      <c r="F69" s="18">
        <f>VLOOKUP(B69,MS!$B:$K,5,0)</f>
        <v>14.889986</v>
      </c>
      <c r="G69" s="18">
        <f>VLOOKUP(B69,MS!$B:$K,6,0)</f>
        <v>42.427979999999998</v>
      </c>
      <c r="H69" s="18">
        <f>VLOOKUP(B69,MS!$B:$K,7,0)</f>
        <v>82.956098999999995</v>
      </c>
      <c r="I69" s="18">
        <f>VLOOKUP(B69,MS!$B:$K,10,0)</f>
        <v>23.387931999999999</v>
      </c>
      <c r="K69" s="5" t="str">
        <f>IFERROR(VLOOKUP(B69,Samples!$A:$A,1,0),"Not Found")</f>
        <v>Not Found</v>
      </c>
      <c r="L69" s="5">
        <f t="shared" si="2"/>
        <v>1</v>
      </c>
    </row>
    <row r="70" spans="1:12" ht="21">
      <c r="A70" s="17">
        <v>64</v>
      </c>
      <c r="B70" s="12" t="s">
        <v>169</v>
      </c>
      <c r="C70" s="18">
        <f>VLOOKUP(B70,MS!$B:$K,2,0)</f>
        <v>628.25768200000005</v>
      </c>
      <c r="D70" s="18">
        <f>VLOOKUP(B70,MS!$B:$K,3,0)</f>
        <v>15.567078</v>
      </c>
      <c r="E70" s="18">
        <f>VLOOKUP(B70,MS!$B:$K,4,0)</f>
        <v>49.082943999999998</v>
      </c>
      <c r="F70" s="18">
        <f>VLOOKUP(B70,MS!$B:$K,5,0)</f>
        <v>14.93181</v>
      </c>
      <c r="G70" s="18">
        <f>VLOOKUP(B70,MS!$B:$K,6,0)</f>
        <v>42.075119999999998</v>
      </c>
      <c r="H70" s="18">
        <f>VLOOKUP(B70,MS!$B:$K,7,0)</f>
        <v>82.224286000000006</v>
      </c>
      <c r="I70" s="18">
        <f>VLOOKUP(B70,MS!$B:$K,10,0)</f>
        <v>23.258569000000001</v>
      </c>
      <c r="K70" s="5" t="str">
        <f>IFERROR(VLOOKUP(B70,Samples!$A:$A,1,0),"Not Found")</f>
        <v>Not Found</v>
      </c>
      <c r="L70" s="5">
        <f t="shared" si="2"/>
        <v>1</v>
      </c>
    </row>
    <row r="71" spans="1:12" ht="21">
      <c r="A71" s="17">
        <v>65</v>
      </c>
      <c r="B71" s="12" t="s">
        <v>170</v>
      </c>
      <c r="C71" s="18">
        <f>VLOOKUP(B71,MS!$B:$K,2,0)</f>
        <v>628.25490200000002</v>
      </c>
      <c r="D71" s="18">
        <f>VLOOKUP(B71,MS!$B:$K,3,0)</f>
        <v>15.571465</v>
      </c>
      <c r="E71" s="18">
        <f>VLOOKUP(B71,MS!$B:$K,4,0)</f>
        <v>48.868067000000003</v>
      </c>
      <c r="F71" s="18">
        <f>VLOOKUP(B71,MS!$B:$K,5,0)</f>
        <v>15.027538</v>
      </c>
      <c r="G71" s="18">
        <f>VLOOKUP(B71,MS!$B:$K,6,0)</f>
        <v>41.806908999999997</v>
      </c>
      <c r="H71" s="18">
        <f>VLOOKUP(B71,MS!$B:$K,7,0)</f>
        <v>82.562197999999995</v>
      </c>
      <c r="I71" s="18">
        <f>VLOOKUP(B71,MS!$B:$K,10,0)</f>
        <v>23.258465999999999</v>
      </c>
      <c r="K71" s="5" t="str">
        <f>IFERROR(VLOOKUP(B71,Samples!$A:$A,1,0),"Not Found")</f>
        <v>Not Found</v>
      </c>
      <c r="L71" s="5">
        <f t="shared" si="2"/>
        <v>1</v>
      </c>
    </row>
    <row r="72" spans="1:12" ht="21">
      <c r="A72" s="17">
        <v>66</v>
      </c>
      <c r="B72" s="12" t="s">
        <v>171</v>
      </c>
      <c r="C72" s="18">
        <f>VLOOKUP(B72,MS!$B:$K,2,0)</f>
        <v>634.42131700000004</v>
      </c>
      <c r="D72" s="18">
        <f>VLOOKUP(B72,MS!$B:$K,3,0)</f>
        <v>15.546124000000001</v>
      </c>
      <c r="E72" s="18">
        <f>VLOOKUP(B72,MS!$B:$K,4,0)</f>
        <v>49.246538999999999</v>
      </c>
      <c r="F72" s="18">
        <f>VLOOKUP(B72,MS!$B:$K,5,0)</f>
        <v>15.010757</v>
      </c>
      <c r="G72" s="18">
        <f>VLOOKUP(B72,MS!$B:$K,6,0)</f>
        <v>42.264445000000002</v>
      </c>
      <c r="H72" s="18">
        <f>VLOOKUP(B72,MS!$B:$K,7,0)</f>
        <v>82.866677999999993</v>
      </c>
      <c r="I72" s="18">
        <f>VLOOKUP(B72,MS!$B:$K,10,0)</f>
        <v>23.486751999999999</v>
      </c>
      <c r="K72" s="5" t="str">
        <f>IFERROR(VLOOKUP(B72,Samples!$A:$A,1,0),"Not Found")</f>
        <v>Not Found</v>
      </c>
      <c r="L72" s="5">
        <f t="shared" si="2"/>
        <v>1</v>
      </c>
    </row>
    <row r="73" spans="1:12" ht="21">
      <c r="A73" s="17">
        <v>67</v>
      </c>
      <c r="B73" s="12" t="s">
        <v>172</v>
      </c>
      <c r="C73" s="18">
        <f>VLOOKUP(B73,MS!$B:$K,2,0)</f>
        <v>633.19997100000001</v>
      </c>
      <c r="D73" s="18">
        <f>VLOOKUP(B73,MS!$B:$K,3,0)</f>
        <v>15.565227</v>
      </c>
      <c r="E73" s="18">
        <f>VLOOKUP(B73,MS!$B:$K,4,0)</f>
        <v>49.093113000000002</v>
      </c>
      <c r="F73" s="18">
        <f>VLOOKUP(B73,MS!$B:$K,5,0)</f>
        <v>14.878818000000001</v>
      </c>
      <c r="G73" s="18">
        <f>VLOOKUP(B73,MS!$B:$K,6,0)</f>
        <v>42.557143000000003</v>
      </c>
      <c r="H73" s="18">
        <f>VLOOKUP(B73,MS!$B:$K,7,0)</f>
        <v>82.863802000000007</v>
      </c>
      <c r="I73" s="18">
        <f>VLOOKUP(B73,MS!$B:$K,10,0)</f>
        <v>23.441535999999999</v>
      </c>
      <c r="K73" s="5" t="str">
        <f>IFERROR(VLOOKUP(B73,Samples!$A:$A,1,0),"Not Found")</f>
        <v>Not Found</v>
      </c>
      <c r="L73" s="5">
        <f t="shared" si="2"/>
        <v>1</v>
      </c>
    </row>
    <row r="74" spans="1:12" ht="21">
      <c r="A74" s="17">
        <v>68</v>
      </c>
      <c r="B74" s="12" t="s">
        <v>173</v>
      </c>
      <c r="C74" s="18">
        <f>VLOOKUP(B74,MS!$B:$K,2,0)</f>
        <v>628.12201300000004</v>
      </c>
      <c r="D74" s="18">
        <f>VLOOKUP(B74,MS!$B:$K,3,0)</f>
        <v>15.531561</v>
      </c>
      <c r="E74" s="18">
        <f>VLOOKUP(B74,MS!$B:$K,4,0)</f>
        <v>49.082718999999997</v>
      </c>
      <c r="F74" s="18">
        <f>VLOOKUP(B74,MS!$B:$K,5,0)</f>
        <v>14.945834</v>
      </c>
      <c r="G74" s="18">
        <f>VLOOKUP(B74,MS!$B:$K,6,0)</f>
        <v>42.026561999999998</v>
      </c>
      <c r="H74" s="18">
        <f>VLOOKUP(B74,MS!$B:$K,7,0)</f>
        <v>82.394892999999996</v>
      </c>
      <c r="I74" s="18">
        <f>VLOOKUP(B74,MS!$B:$K,10,0)</f>
        <v>23.253547000000001</v>
      </c>
      <c r="K74" s="5" t="str">
        <f>IFERROR(VLOOKUP(B74,Samples!$A:$A,1,0),"Not Found")</f>
        <v>Not Found</v>
      </c>
      <c r="L74" s="5">
        <f t="shared" si="2"/>
        <v>1</v>
      </c>
    </row>
    <row r="75" spans="1:12" ht="21">
      <c r="A75" s="17">
        <v>69</v>
      </c>
      <c r="B75" s="12" t="s">
        <v>174</v>
      </c>
      <c r="C75" s="18">
        <f>VLOOKUP(B75,MS!$B:$K,2,0)</f>
        <v>628.82523200000003</v>
      </c>
      <c r="D75" s="18">
        <f>VLOOKUP(B75,MS!$B:$K,3,0)</f>
        <v>15.556101999999999</v>
      </c>
      <c r="E75" s="18">
        <f>VLOOKUP(B75,MS!$B:$K,4,0)</f>
        <v>48.822561</v>
      </c>
      <c r="F75" s="18">
        <f>VLOOKUP(B75,MS!$B:$K,5,0)</f>
        <v>14.841946999999999</v>
      </c>
      <c r="G75" s="18">
        <f>VLOOKUP(B75,MS!$B:$K,6,0)</f>
        <v>42.368107999999999</v>
      </c>
      <c r="H75" s="18">
        <f>VLOOKUP(B75,MS!$B:$K,7,0)</f>
        <v>82.795860000000005</v>
      </c>
      <c r="I75" s="18">
        <f>VLOOKUP(B75,MS!$B:$K,10,0)</f>
        <v>23.279579999999999</v>
      </c>
      <c r="K75" s="5" t="str">
        <f>IFERROR(VLOOKUP(B75,Samples!$A:$A,1,0),"Not Found")</f>
        <v>Not Found</v>
      </c>
      <c r="L75" s="5">
        <f t="shared" si="2"/>
        <v>1</v>
      </c>
    </row>
    <row r="76" spans="1:12" ht="21">
      <c r="A76" s="17">
        <v>70</v>
      </c>
      <c r="B76" s="12" t="s">
        <v>175</v>
      </c>
      <c r="C76" s="18">
        <f>VLOOKUP(B76,MS!$B:$K,2,0)</f>
        <v>634.25905699999998</v>
      </c>
      <c r="D76" s="18">
        <f>VLOOKUP(B76,MS!$B:$K,3,0)</f>
        <v>15.626789</v>
      </c>
      <c r="E76" s="18">
        <f>VLOOKUP(B76,MS!$B:$K,4,0)</f>
        <v>49.168899000000003</v>
      </c>
      <c r="F76" s="18">
        <f>VLOOKUP(B76,MS!$B:$K,5,0)</f>
        <v>14.874969999999999</v>
      </c>
      <c r="G76" s="18">
        <f>VLOOKUP(B76,MS!$B:$K,6,0)</f>
        <v>42.639349000000003</v>
      </c>
      <c r="H76" s="18">
        <f>VLOOKUP(B76,MS!$B:$K,7,0)</f>
        <v>82.547980999999993</v>
      </c>
      <c r="I76" s="18">
        <f>VLOOKUP(B76,MS!$B:$K,10,0)</f>
        <v>23.480744999999999</v>
      </c>
      <c r="K76" s="5" t="str">
        <f>IFERROR(VLOOKUP(B76,Samples!$A:$A,1,0),"Not Found")</f>
        <v>Not Found</v>
      </c>
      <c r="L76" s="5">
        <f t="shared" si="2"/>
        <v>1</v>
      </c>
    </row>
    <row r="77" spans="1:12" ht="21">
      <c r="A77" s="17">
        <v>71</v>
      </c>
      <c r="B77" s="12" t="s">
        <v>176</v>
      </c>
      <c r="C77" s="18">
        <f>VLOOKUP(B77,MS!$B:$K,2,0)</f>
        <v>630.61176799999998</v>
      </c>
      <c r="D77" s="18">
        <f>VLOOKUP(B77,MS!$B:$K,3,0)</f>
        <v>15.546277999999999</v>
      </c>
      <c r="E77" s="18">
        <f>VLOOKUP(B77,MS!$B:$K,4,0)</f>
        <v>49.156396000000001</v>
      </c>
      <c r="F77" s="18">
        <f>VLOOKUP(B77,MS!$B:$K,5,0)</f>
        <v>14.952704000000001</v>
      </c>
      <c r="G77" s="18">
        <f>VLOOKUP(B77,MS!$B:$K,6,0)</f>
        <v>42.173760999999999</v>
      </c>
      <c r="H77" s="18">
        <f>VLOOKUP(B77,MS!$B:$K,7,0)</f>
        <v>82.519312999999997</v>
      </c>
      <c r="I77" s="18">
        <f>VLOOKUP(B77,MS!$B:$K,10,0)</f>
        <v>23.345718999999999</v>
      </c>
      <c r="K77" s="5" t="str">
        <f>IFERROR(VLOOKUP(B77,Samples!$A:$A,1,0),"Not Found")</f>
        <v>Not Found</v>
      </c>
      <c r="L77" s="5">
        <f t="shared" si="2"/>
        <v>1</v>
      </c>
    </row>
    <row r="78" spans="1:12" ht="21">
      <c r="A78" s="17">
        <v>72</v>
      </c>
      <c r="B78" s="12" t="s">
        <v>177</v>
      </c>
      <c r="C78" s="18">
        <f>VLOOKUP(B78,MS!$B:$K,2,0)</f>
        <v>633.04235100000005</v>
      </c>
      <c r="D78" s="18">
        <f>VLOOKUP(B78,MS!$B:$K,3,0)</f>
        <v>15.540846</v>
      </c>
      <c r="E78" s="18">
        <f>VLOOKUP(B78,MS!$B:$K,4,0)</f>
        <v>49.261383000000002</v>
      </c>
      <c r="F78" s="18">
        <f>VLOOKUP(B78,MS!$B:$K,5,0)</f>
        <v>14.849570999999999</v>
      </c>
      <c r="G78" s="18">
        <f>VLOOKUP(B78,MS!$B:$K,6,0)</f>
        <v>42.630344999999998</v>
      </c>
      <c r="H78" s="18">
        <f>VLOOKUP(B78,MS!$B:$K,7,0)</f>
        <v>82.689715000000007</v>
      </c>
      <c r="I78" s="18">
        <f>VLOOKUP(B78,MS!$B:$K,10,0)</f>
        <v>23.435701000000002</v>
      </c>
      <c r="K78" s="5" t="str">
        <f>IFERROR(VLOOKUP(B78,Samples!$A:$A,1,0),"Not Found")</f>
        <v>Not Found</v>
      </c>
      <c r="L78" s="5">
        <f t="shared" si="2"/>
        <v>1</v>
      </c>
    </row>
    <row r="79" spans="1:12" ht="21">
      <c r="A79" s="17">
        <v>73</v>
      </c>
      <c r="B79" s="12" t="s">
        <v>178</v>
      </c>
      <c r="C79" s="18">
        <f>VLOOKUP(B79,MS!$B:$K,2,0)</f>
        <v>636.70469100000003</v>
      </c>
      <c r="D79" s="18">
        <f>VLOOKUP(B79,MS!$B:$K,3,0)</f>
        <v>15.569355</v>
      </c>
      <c r="E79" s="18">
        <f>VLOOKUP(B79,MS!$B:$K,4,0)</f>
        <v>49.256343999999999</v>
      </c>
      <c r="F79" s="18">
        <f>VLOOKUP(B79,MS!$B:$K,5,0)</f>
        <v>14.934013999999999</v>
      </c>
      <c r="G79" s="18">
        <f>VLOOKUP(B79,MS!$B:$K,6,0)</f>
        <v>42.634532</v>
      </c>
      <c r="H79" s="18">
        <f>VLOOKUP(B79,MS!$B:$K,7,0)</f>
        <v>83.024305999999996</v>
      </c>
      <c r="I79" s="18">
        <f>VLOOKUP(B79,MS!$B:$K,10,0)</f>
        <v>23.571283999999999</v>
      </c>
      <c r="K79" s="5" t="str">
        <f>IFERROR(VLOOKUP(B79,Samples!$A:$A,1,0),"Not Found")</f>
        <v>Not Found</v>
      </c>
      <c r="L79" s="5">
        <f t="shared" si="2"/>
        <v>1</v>
      </c>
    </row>
    <row r="80" spans="1:12" ht="21">
      <c r="A80" s="17">
        <v>74</v>
      </c>
      <c r="B80" s="12" t="s">
        <v>179</v>
      </c>
      <c r="C80" s="18">
        <f>VLOOKUP(B80,MS!$B:$K,2,0)</f>
        <v>634.11221999999998</v>
      </c>
      <c r="D80" s="18">
        <f>VLOOKUP(B80,MS!$B:$K,3,0)</f>
        <v>15.584599000000001</v>
      </c>
      <c r="E80" s="18">
        <f>VLOOKUP(B80,MS!$B:$K,4,0)</f>
        <v>49.176873000000001</v>
      </c>
      <c r="F80" s="18">
        <f>VLOOKUP(B80,MS!$B:$K,5,0)</f>
        <v>14.868994000000001</v>
      </c>
      <c r="G80" s="18">
        <f>VLOOKUP(B80,MS!$B:$K,6,0)</f>
        <v>42.646611999999998</v>
      </c>
      <c r="H80" s="18">
        <f>VLOOKUP(B80,MS!$B:$K,7,0)</f>
        <v>82.738868999999994</v>
      </c>
      <c r="I80" s="18">
        <f>VLOOKUP(B80,MS!$B:$K,10,0)</f>
        <v>23.475308999999999</v>
      </c>
      <c r="K80" s="5" t="str">
        <f>IFERROR(VLOOKUP(B80,Samples!$A:$A,1,0),"Not Found")</f>
        <v>Not Found</v>
      </c>
      <c r="L80" s="5">
        <f t="shared" si="2"/>
        <v>1</v>
      </c>
    </row>
    <row r="81" spans="1:12" ht="21">
      <c r="A81" s="17">
        <v>75</v>
      </c>
      <c r="B81" s="12" t="s">
        <v>180</v>
      </c>
      <c r="C81" s="18">
        <f>VLOOKUP(B81,MS!$B:$K,2,0)</f>
        <v>630.77750500000002</v>
      </c>
      <c r="D81" s="18">
        <f>VLOOKUP(B81,MS!$B:$K,3,0)</f>
        <v>15.560415000000001</v>
      </c>
      <c r="E81" s="18">
        <f>VLOOKUP(B81,MS!$B:$K,4,0)</f>
        <v>49.054234999999998</v>
      </c>
      <c r="F81" s="18">
        <f>VLOOKUP(B81,MS!$B:$K,5,0)</f>
        <v>14.992727</v>
      </c>
      <c r="G81" s="18">
        <f>VLOOKUP(B81,MS!$B:$K,6,0)</f>
        <v>42.072234000000002</v>
      </c>
      <c r="H81" s="18">
        <f>VLOOKUP(B81,MS!$B:$K,7,0)</f>
        <v>82.637754999999999</v>
      </c>
      <c r="I81" s="18">
        <f>VLOOKUP(B81,MS!$B:$K,10,0)</f>
        <v>23.351855</v>
      </c>
      <c r="K81" s="5" t="str">
        <f>IFERROR(VLOOKUP(B81,Samples!$A:$A,1,0),"Not Found")</f>
        <v>Not Found</v>
      </c>
      <c r="L81" s="5">
        <f t="shared" si="2"/>
        <v>1</v>
      </c>
    </row>
    <row r="82" spans="1:12" ht="21">
      <c r="A82" s="17">
        <v>76</v>
      </c>
      <c r="B82" s="12" t="s">
        <v>181</v>
      </c>
      <c r="C82" s="18">
        <f>VLOOKUP(B82,MS!$B:$K,2,0)</f>
        <v>636.504639</v>
      </c>
      <c r="D82" s="18">
        <f>VLOOKUP(B82,MS!$B:$K,3,0)</f>
        <v>15.600538999999999</v>
      </c>
      <c r="E82" s="18">
        <f>VLOOKUP(B82,MS!$B:$K,4,0)</f>
        <v>49.226053999999998</v>
      </c>
      <c r="F82" s="18">
        <f>VLOOKUP(B82,MS!$B:$K,5,0)</f>
        <v>14.900392999999999</v>
      </c>
      <c r="G82" s="18">
        <f>VLOOKUP(B82,MS!$B:$K,6,0)</f>
        <v>42.717306000000001</v>
      </c>
      <c r="H82" s="18">
        <f>VLOOKUP(B82,MS!$B:$K,7,0)</f>
        <v>82.883285999999998</v>
      </c>
      <c r="I82" s="18">
        <f>VLOOKUP(B82,MS!$B:$K,10,0)</f>
        <v>23.563877999999999</v>
      </c>
      <c r="K82" s="5" t="str">
        <f>IFERROR(VLOOKUP(B82,Samples!$A:$A,1,0),"Not Found")</f>
        <v>Not Found</v>
      </c>
      <c r="L82" s="5">
        <f t="shared" si="2"/>
        <v>1</v>
      </c>
    </row>
    <row r="83" spans="1:12" ht="21">
      <c r="A83" s="17">
        <v>77</v>
      </c>
      <c r="B83" s="12" t="s">
        <v>182</v>
      </c>
      <c r="C83" s="18">
        <f>VLOOKUP(B83,MS!$B:$K,2,0)</f>
        <v>637.53510300000005</v>
      </c>
      <c r="D83" s="18">
        <f>VLOOKUP(B83,MS!$B:$K,3,0)</f>
        <v>15.543818999999999</v>
      </c>
      <c r="E83" s="18">
        <f>VLOOKUP(B83,MS!$B:$K,4,0)</f>
        <v>49.216656</v>
      </c>
      <c r="F83" s="18">
        <f>VLOOKUP(B83,MS!$B:$K,5,0)</f>
        <v>14.951005</v>
      </c>
      <c r="G83" s="18">
        <f>VLOOKUP(B83,MS!$B:$K,6,0)</f>
        <v>42.641621999999998</v>
      </c>
      <c r="H83" s="18">
        <f>VLOOKUP(B83,MS!$B:$K,7,0)</f>
        <v>83.336310999999995</v>
      </c>
      <c r="I83" s="18">
        <f>VLOOKUP(B83,MS!$B:$K,10,0)</f>
        <v>23.602025999999999</v>
      </c>
      <c r="K83" s="5" t="str">
        <f>IFERROR(VLOOKUP(B83,Samples!$A:$A,1,0),"Not Found")</f>
        <v>Not Found</v>
      </c>
      <c r="L83" s="5">
        <f t="shared" si="2"/>
        <v>1</v>
      </c>
    </row>
    <row r="84" spans="1:12" ht="21">
      <c r="A84" s="17">
        <v>78</v>
      </c>
      <c r="B84" s="12" t="s">
        <v>184</v>
      </c>
      <c r="C84" s="18">
        <f>VLOOKUP(B84,MS!$B:$K,2,0)</f>
        <v>633.88260000000002</v>
      </c>
      <c r="D84" s="18">
        <f>VLOOKUP(B84,MS!$B:$K,3,0)</f>
        <v>16.656593000000001</v>
      </c>
      <c r="E84" s="18">
        <f>VLOOKUP(B84,MS!$B:$K,4,0)</f>
        <v>49.18741</v>
      </c>
      <c r="F84" s="18">
        <f>VLOOKUP(B84,MS!$B:$K,5,0)</f>
        <v>15.998513000000001</v>
      </c>
      <c r="G84" s="18">
        <f>VLOOKUP(B84,MS!$B:$K,6,0)</f>
        <v>39.621344999999998</v>
      </c>
      <c r="H84" s="18">
        <f>VLOOKUP(B84,MS!$B:$K,7,0)</f>
        <v>77.369304</v>
      </c>
      <c r="I84" s="18">
        <f>VLOOKUP(B84,MS!$B:$K,10,0)</f>
        <v>23.466808</v>
      </c>
      <c r="K84" s="5" t="str">
        <f>IFERROR(VLOOKUP(B84,Samples!$A:$A,1,0),"Not Found")</f>
        <v>Not Found</v>
      </c>
      <c r="L84" s="5">
        <f t="shared" si="2"/>
        <v>1</v>
      </c>
    </row>
    <row r="85" spans="1:12" ht="21">
      <c r="A85" s="17">
        <v>79</v>
      </c>
      <c r="B85" s="12" t="s">
        <v>185</v>
      </c>
      <c r="C85" s="18">
        <f>VLOOKUP(B85,MS!$B:$K,2,0)</f>
        <v>633.24244299999998</v>
      </c>
      <c r="D85" s="18">
        <f>VLOOKUP(B85,MS!$B:$K,3,0)</f>
        <v>16.768858000000002</v>
      </c>
      <c r="E85" s="18">
        <f>VLOOKUP(B85,MS!$B:$K,4,0)</f>
        <v>49.146610000000003</v>
      </c>
      <c r="F85" s="18">
        <f>VLOOKUP(B85,MS!$B:$K,5,0)</f>
        <v>15.991484</v>
      </c>
      <c r="G85" s="18">
        <f>VLOOKUP(B85,MS!$B:$K,6,0)</f>
        <v>39.598728999999999</v>
      </c>
      <c r="H85" s="18">
        <f>VLOOKUP(B85,MS!$B:$K,7,0)</f>
        <v>76.837451999999999</v>
      </c>
      <c r="I85" s="18">
        <f>VLOOKUP(B85,MS!$B:$K,10,0)</f>
        <v>23.443109</v>
      </c>
      <c r="K85" s="5" t="str">
        <f>IFERROR(VLOOKUP(B85,Samples!$A:$A,1,0),"Not Found")</f>
        <v>Not Found</v>
      </c>
      <c r="L85" s="5">
        <f t="shared" si="2"/>
        <v>1</v>
      </c>
    </row>
    <row r="86" spans="1:12" ht="21">
      <c r="A86" s="17">
        <v>80</v>
      </c>
      <c r="B86" s="12" t="s">
        <v>186</v>
      </c>
      <c r="C86" s="18">
        <f>VLOOKUP(B86,MS!$B:$K,2,0)</f>
        <v>633.58617800000002</v>
      </c>
      <c r="D86" s="18">
        <f>VLOOKUP(B86,MS!$B:$K,3,0)</f>
        <v>16.695039999999999</v>
      </c>
      <c r="E86" s="18">
        <f>VLOOKUP(B86,MS!$B:$K,4,0)</f>
        <v>49.065471000000002</v>
      </c>
      <c r="F86" s="18">
        <f>VLOOKUP(B86,MS!$B:$K,5,0)</f>
        <v>15.835334</v>
      </c>
      <c r="G86" s="18">
        <f>VLOOKUP(B86,MS!$B:$K,6,0)</f>
        <v>40.010914</v>
      </c>
      <c r="H86" s="18">
        <f>VLOOKUP(B86,MS!$B:$K,7,0)</f>
        <v>77.346780999999993</v>
      </c>
      <c r="I86" s="18">
        <f>VLOOKUP(B86,MS!$B:$K,10,0)</f>
        <v>23.455833999999999</v>
      </c>
      <c r="K86" s="5" t="str">
        <f>IFERROR(VLOOKUP(B86,Samples!$A:$A,1,0),"Not Found")</f>
        <v>Not Found</v>
      </c>
      <c r="L86" s="5">
        <f t="shared" si="2"/>
        <v>1</v>
      </c>
    </row>
    <row r="87" spans="1:12">
      <c r="K87" s="5" t="str">
        <f>IFERROR(VLOOKUP(B87,Samples!$A:$A,1,0),"Not Found")</f>
        <v>Not Found</v>
      </c>
      <c r="L87" s="5">
        <f t="shared" si="2"/>
        <v>0</v>
      </c>
    </row>
  </sheetData>
  <autoFilter ref="A5:I86" xr:uid="{00000000-0001-0000-0200-000000000000}"/>
  <mergeCells count="4">
    <mergeCell ref="A1:I1"/>
    <mergeCell ref="A2:I2"/>
    <mergeCell ref="A3:I3"/>
    <mergeCell ref="A4:I4"/>
  </mergeCells>
  <conditionalFormatting sqref="B1:B1048576">
    <cfRule type="duplicateValues" dxfId="77" priority="1"/>
    <cfRule type="duplicateValues" dxfId="76" priority="6"/>
    <cfRule type="duplicateValues" dxfId="75" priority="636"/>
    <cfRule type="duplicateValues" dxfId="74" priority="637"/>
    <cfRule type="duplicateValues" dxfId="73" priority="638"/>
    <cfRule type="duplicateValues" dxfId="72" priority="639"/>
    <cfRule type="duplicateValues" dxfId="71" priority="640"/>
    <cfRule type="duplicateValues" dxfId="70" priority="641"/>
  </conditionalFormatting>
  <conditionalFormatting sqref="B5">
    <cfRule type="duplicateValues" dxfId="69" priority="312"/>
  </conditionalFormatting>
  <conditionalFormatting sqref="B5:B1048576">
    <cfRule type="duplicateValues" dxfId="68" priority="584"/>
    <cfRule type="duplicateValues" dxfId="67" priority="585"/>
    <cfRule type="duplicateValues" dxfId="66" priority="590"/>
  </conditionalFormatting>
  <conditionalFormatting sqref="B6:B1048576">
    <cfRule type="duplicateValues" dxfId="65" priority="593"/>
  </conditionalFormatting>
  <conditionalFormatting sqref="B8:B49">
    <cfRule type="duplicateValues" dxfId="64" priority="620"/>
  </conditionalFormatting>
  <printOptions horizontalCentered="1"/>
  <pageMargins left="0.25" right="0.25" top="0.25" bottom="0.25" header="0" footer="0"/>
  <pageSetup paperSize="9" scale="55" orientation="portrait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48AB-746D-4E2F-9835-51404CBEB3BF}">
  <dimension ref="A1:T20"/>
  <sheetViews>
    <sheetView view="pageBreakPreview" zoomScale="90" zoomScaleNormal="100" zoomScaleSheetLayoutView="90" workbookViewId="0">
      <selection activeCell="J6" sqref="J6"/>
    </sheetView>
  </sheetViews>
  <sheetFormatPr defaultRowHeight="14.4"/>
  <cols>
    <col min="1" max="1" width="5.88671875" customWidth="1"/>
    <col min="2" max="2" width="22.77734375" bestFit="1" customWidth="1"/>
    <col min="3" max="3" width="9" bestFit="1" customWidth="1"/>
    <col min="10" max="10" width="11.33203125" bestFit="1" customWidth="1"/>
    <col min="11" max="12" width="10.33203125" bestFit="1" customWidth="1"/>
    <col min="13" max="13" width="9.33203125" bestFit="1" customWidth="1"/>
    <col min="14" max="16" width="10.33203125" bestFit="1" customWidth="1"/>
    <col min="17" max="17" width="12" bestFit="1" customWidth="1"/>
    <col min="19" max="19" width="10.21875" bestFit="1" customWidth="1"/>
  </cols>
  <sheetData>
    <row r="1" spans="1:20" ht="30" customHeight="1">
      <c r="A1" s="57" t="s">
        <v>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9"/>
    </row>
    <row r="2" spans="1:20" ht="30" customHeight="1">
      <c r="A2" s="60" t="s">
        <v>41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2"/>
    </row>
    <row r="3" spans="1:20" ht="30" customHeight="1">
      <c r="A3" s="63" t="s">
        <v>207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5"/>
    </row>
    <row r="4" spans="1:20" ht="30" customHeight="1">
      <c r="A4" s="66" t="s">
        <v>91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8"/>
    </row>
    <row r="5" spans="1:20" ht="30" customHeight="1">
      <c r="A5" s="56" t="s">
        <v>24</v>
      </c>
      <c r="B5" s="54" t="s">
        <v>40</v>
      </c>
      <c r="C5" s="56" t="s">
        <v>42</v>
      </c>
      <c r="D5" s="56"/>
      <c r="E5" s="56"/>
      <c r="F5" s="56"/>
      <c r="G5" s="56"/>
      <c r="H5" s="56"/>
      <c r="I5" s="56"/>
      <c r="J5" s="56" t="s">
        <v>43</v>
      </c>
      <c r="K5" s="56"/>
      <c r="L5" s="56"/>
      <c r="M5" s="56"/>
      <c r="N5" s="56"/>
      <c r="O5" s="56"/>
      <c r="P5" s="56"/>
      <c r="Q5" s="55" t="s">
        <v>63</v>
      </c>
    </row>
    <row r="6" spans="1:20" ht="30" customHeight="1">
      <c r="A6" s="56"/>
      <c r="B6" s="54"/>
      <c r="C6" s="31" t="s">
        <v>28</v>
      </c>
      <c r="D6" s="31" t="s">
        <v>29</v>
      </c>
      <c r="E6" s="31" t="s">
        <v>30</v>
      </c>
      <c r="F6" s="31" t="s">
        <v>31</v>
      </c>
      <c r="G6" s="31" t="s">
        <v>32</v>
      </c>
      <c r="H6" s="31" t="s">
        <v>33</v>
      </c>
      <c r="I6" s="31" t="s">
        <v>45</v>
      </c>
      <c r="J6" s="31" t="s">
        <v>28</v>
      </c>
      <c r="K6" s="31" t="s">
        <v>29</v>
      </c>
      <c r="L6" s="31" t="s">
        <v>30</v>
      </c>
      <c r="M6" s="31" t="s">
        <v>31</v>
      </c>
      <c r="N6" s="31" t="s">
        <v>32</v>
      </c>
      <c r="O6" s="31" t="s">
        <v>33</v>
      </c>
      <c r="P6" s="31" t="s">
        <v>45</v>
      </c>
      <c r="Q6" s="55"/>
    </row>
    <row r="7" spans="1:20" ht="30.6" customHeight="1">
      <c r="A7" s="32">
        <v>1</v>
      </c>
      <c r="B7" s="21" t="s">
        <v>112</v>
      </c>
      <c r="C7" s="22">
        <f>VLOOKUP(B7,'FTR(Inspection)'!$B$5:$I$57,2,0)</f>
        <v>633.39291000000003</v>
      </c>
      <c r="D7" s="22">
        <f>VLOOKUP(B7,'FTR(Inspection)'!$B$5:$I$57,3,0)</f>
        <v>15.592299000000001</v>
      </c>
      <c r="E7" s="22">
        <f>VLOOKUP(B7,'FTR(Inspection)'!$B$5:$I$57,4,0)</f>
        <v>49.146450999999999</v>
      </c>
      <c r="F7" s="22">
        <f>VLOOKUP(B7,'FTR(Inspection)'!$B$5:$I$57,5,0)</f>
        <v>14.878658</v>
      </c>
      <c r="G7" s="22">
        <f>VLOOKUP(B7,'FTR(Inspection)'!$B$5:$I$57,6,0)</f>
        <v>42.570568000000002</v>
      </c>
      <c r="H7" s="22">
        <f>VLOOKUP(B7,'FTR(Inspection)'!$B$5:$I$57,7,0)</f>
        <v>82.655337000000003</v>
      </c>
      <c r="I7" s="22">
        <f>VLOOKUP(B7,'FTR(Inspection)'!$B$5:$I$57,8,0)</f>
        <v>23.448678999999998</v>
      </c>
      <c r="J7" s="22">
        <v>489.800476</v>
      </c>
      <c r="K7" s="22">
        <v>12.738305</v>
      </c>
      <c r="L7" s="22">
        <v>48.795617</v>
      </c>
      <c r="M7" s="22">
        <v>11.406226999999999</v>
      </c>
      <c r="N7" s="22">
        <v>42.941496999999998</v>
      </c>
      <c r="O7" s="22">
        <v>78.800098000000006</v>
      </c>
      <c r="P7" s="22">
        <v>18.060538000000001</v>
      </c>
      <c r="Q7" s="22">
        <f t="shared" ref="Q7:Q20" si="0">J7*100/C7</f>
        <v>77.329642985741657</v>
      </c>
      <c r="R7" s="40"/>
      <c r="S7" t="str">
        <f>IFERROR(VLOOKUP(B7,Samples!$A:$A,1,0),"Not Found")</f>
        <v>Not Found</v>
      </c>
      <c r="T7">
        <f>COUNTIF(B7:B14,B7)</f>
        <v>1</v>
      </c>
    </row>
    <row r="8" spans="1:20" ht="30.6" customHeight="1">
      <c r="A8" s="32">
        <v>2</v>
      </c>
      <c r="B8" s="21" t="s">
        <v>116</v>
      </c>
      <c r="C8" s="22">
        <f>VLOOKUP(B8,'FTR(Inspection)'!$B$5:$I$57,2,0)</f>
        <v>634.29745200000002</v>
      </c>
      <c r="D8" s="22">
        <f>VLOOKUP(B8,'FTR(Inspection)'!$B$5:$I$57,3,0)</f>
        <v>16.698293</v>
      </c>
      <c r="E8" s="22">
        <f>VLOOKUP(B8,'FTR(Inspection)'!$B$5:$I$57,4,0)</f>
        <v>49.241427999999999</v>
      </c>
      <c r="F8" s="22">
        <f>VLOOKUP(B8,'FTR(Inspection)'!$B$5:$I$57,5,0)</f>
        <v>16.016220000000001</v>
      </c>
      <c r="G8" s="22">
        <f>VLOOKUP(B8,'FTR(Inspection)'!$B$5:$I$57,6,0)</f>
        <v>39.603442999999999</v>
      </c>
      <c r="H8" s="22">
        <f>VLOOKUP(B8,'FTR(Inspection)'!$B$5:$I$57,7,0)</f>
        <v>77.141887999999994</v>
      </c>
      <c r="I8" s="22">
        <f>VLOOKUP(B8,'FTR(Inspection)'!$B$5:$I$57,8,0)</f>
        <v>23.482165999999999</v>
      </c>
      <c r="J8" s="22">
        <v>497.868853</v>
      </c>
      <c r="K8" s="22">
        <v>12.610226000000001</v>
      </c>
      <c r="L8" s="22">
        <v>49.049357000000001</v>
      </c>
      <c r="M8" s="22">
        <v>11.531858</v>
      </c>
      <c r="N8" s="22">
        <v>43.173341000000001</v>
      </c>
      <c r="O8" s="22">
        <v>80.493123999999995</v>
      </c>
      <c r="P8" s="22">
        <v>18.358045000000001</v>
      </c>
      <c r="Q8" s="22">
        <f t="shared" si="0"/>
        <v>78.491384669790534</v>
      </c>
      <c r="S8" t="str">
        <f>IFERROR(VLOOKUP(B8,Samples!$A:$A,1,0),"Not Found")</f>
        <v>Not Found</v>
      </c>
      <c r="T8">
        <f>COUNTIF(B8:B14,B8)</f>
        <v>1</v>
      </c>
    </row>
    <row r="9" spans="1:20" ht="30.6" customHeight="1">
      <c r="A9" s="32">
        <v>3</v>
      </c>
      <c r="B9" s="21" t="s">
        <v>115</v>
      </c>
      <c r="C9" s="22">
        <f>VLOOKUP(B9,'FTR(Inspection)'!$B$5:$I$57,2,0)</f>
        <v>632.679528</v>
      </c>
      <c r="D9" s="22">
        <f>VLOOKUP(B9,'FTR(Inspection)'!$B$5:$I$57,3,0)</f>
        <v>16.747433999999998</v>
      </c>
      <c r="E9" s="22">
        <f>VLOOKUP(B9,'FTR(Inspection)'!$B$5:$I$57,4,0)</f>
        <v>49.080992000000002</v>
      </c>
      <c r="F9" s="22">
        <f>VLOOKUP(B9,'FTR(Inspection)'!$B$5:$I$57,5,0)</f>
        <v>16.033463999999999</v>
      </c>
      <c r="G9" s="22">
        <f>VLOOKUP(B9,'FTR(Inspection)'!$B$5:$I$57,6,0)</f>
        <v>39.459941000000001</v>
      </c>
      <c r="H9" s="22">
        <f>VLOOKUP(B9,'FTR(Inspection)'!$B$5:$I$57,7,0)</f>
        <v>76.970122000000003</v>
      </c>
      <c r="I9" s="22">
        <f>VLOOKUP(B9,'FTR(Inspection)'!$B$5:$I$57,8,0)</f>
        <v>23.422269</v>
      </c>
      <c r="J9" s="22">
        <v>497.98198500000001</v>
      </c>
      <c r="K9" s="22">
        <v>12.709383000000001</v>
      </c>
      <c r="L9" s="22">
        <v>49.009791</v>
      </c>
      <c r="M9" s="22">
        <v>11.545112</v>
      </c>
      <c r="N9" s="22">
        <v>43.133578</v>
      </c>
      <c r="O9" s="22">
        <v>79.947762999999995</v>
      </c>
      <c r="P9" s="22">
        <v>18.362217000000001</v>
      </c>
      <c r="Q9" s="22">
        <f t="shared" si="0"/>
        <v>78.70998870063012</v>
      </c>
      <c r="S9" t="str">
        <f>IFERROR(VLOOKUP(B9,Samples!$A:$A,1,0),"Not Found")</f>
        <v>Not Found</v>
      </c>
      <c r="T9">
        <f>COUNTIF(B9:B15,B9)</f>
        <v>1</v>
      </c>
    </row>
    <row r="10" spans="1:20" ht="30.6" customHeight="1">
      <c r="A10" s="32">
        <v>4</v>
      </c>
      <c r="B10" s="21" t="s">
        <v>108</v>
      </c>
      <c r="C10" s="22">
        <f>VLOOKUP(B10,'FTR(Inspection)'!$B$5:$I$57,2,0)</f>
        <v>632.19763999999998</v>
      </c>
      <c r="D10" s="22">
        <f>VLOOKUP(B10,'FTR(Inspection)'!$B$5:$I$57,3,0)</f>
        <v>16.640719000000001</v>
      </c>
      <c r="E10" s="22">
        <f>VLOOKUP(B10,'FTR(Inspection)'!$B$5:$I$57,4,0)</f>
        <v>49.145668000000001</v>
      </c>
      <c r="F10" s="22">
        <f>VLOOKUP(B10,'FTR(Inspection)'!$B$5:$I$57,5,0)</f>
        <v>15.986503000000001</v>
      </c>
      <c r="G10" s="22">
        <f>VLOOKUP(B10,'FTR(Inspection)'!$B$5:$I$57,6,0)</f>
        <v>39.545712000000002</v>
      </c>
      <c r="H10" s="22">
        <f>VLOOKUP(B10,'FTR(Inspection)'!$B$5:$I$57,7,0)</f>
        <v>77.302854999999994</v>
      </c>
      <c r="I10" s="22">
        <f>VLOOKUP(B10,'FTR(Inspection)'!$B$5:$I$57,8,0)</f>
        <v>23.404429</v>
      </c>
      <c r="J10" s="22">
        <v>502.171423</v>
      </c>
      <c r="K10" s="22">
        <v>12.84774</v>
      </c>
      <c r="L10" s="22">
        <v>48.934666999999997</v>
      </c>
      <c r="M10" s="22">
        <v>11.657698</v>
      </c>
      <c r="N10" s="22">
        <v>43.076379000000003</v>
      </c>
      <c r="O10" s="22">
        <v>79.874587000000005</v>
      </c>
      <c r="P10" s="22">
        <v>18.516694999999999</v>
      </c>
      <c r="Q10" s="22">
        <f t="shared" si="0"/>
        <v>79.432663336104838</v>
      </c>
      <c r="S10" t="str">
        <f>IFERROR(VLOOKUP(B10,Samples!$A:$A,1,0),"Not Found")</f>
        <v>Not Found</v>
      </c>
      <c r="T10">
        <f>COUNTIF(B10:B16,B10)</f>
        <v>1</v>
      </c>
    </row>
    <row r="11" spans="1:20" ht="30.6" customHeight="1">
      <c r="A11" s="32">
        <v>5</v>
      </c>
      <c r="B11" s="21" t="s">
        <v>111</v>
      </c>
      <c r="C11" s="22">
        <f>VLOOKUP(B11,'FTR(Inspection)'!$B$5:$I$57,2,0)</f>
        <v>633.82403999999997</v>
      </c>
      <c r="D11" s="22">
        <f>VLOOKUP(B11,'FTR(Inspection)'!$B$5:$I$57,3,0)</f>
        <v>15.572481</v>
      </c>
      <c r="E11" s="22">
        <f>VLOOKUP(B11,'FTR(Inspection)'!$B$5:$I$57,4,0)</f>
        <v>49.132060000000003</v>
      </c>
      <c r="F11" s="22">
        <f>VLOOKUP(B11,'FTR(Inspection)'!$B$5:$I$57,5,0)</f>
        <v>14.900054000000001</v>
      </c>
      <c r="G11" s="22">
        <f>VLOOKUP(B11,'FTR(Inspection)'!$B$5:$I$57,6,0)</f>
        <v>42.538370999999998</v>
      </c>
      <c r="H11" s="22">
        <f>VLOOKUP(B11,'FTR(Inspection)'!$B$5:$I$57,7,0)</f>
        <v>82.841115000000002</v>
      </c>
      <c r="I11" s="22">
        <f>VLOOKUP(B11,'FTR(Inspection)'!$B$5:$I$57,8,0)</f>
        <v>23.464639999999999</v>
      </c>
      <c r="J11" s="22">
        <v>480.58114399999999</v>
      </c>
      <c r="K11" s="22">
        <v>12.738747</v>
      </c>
      <c r="L11" s="22">
        <v>48.740507000000001</v>
      </c>
      <c r="M11" s="22">
        <v>11.211081</v>
      </c>
      <c r="N11" s="22">
        <v>42.866619999999998</v>
      </c>
      <c r="O11" s="22">
        <v>77.401605000000004</v>
      </c>
      <c r="P11" s="22">
        <v>17.720590999999999</v>
      </c>
      <c r="Q11" s="22">
        <f t="shared" si="0"/>
        <v>75.822486001004322</v>
      </c>
      <c r="S11" t="str">
        <f>IFERROR(VLOOKUP(B11,Samples!$A:$A,1,0),"Not Found")</f>
        <v>Not Found</v>
      </c>
      <c r="T11">
        <f>COUNTIF(B11:B18,B11)</f>
        <v>1</v>
      </c>
    </row>
    <row r="12" spans="1:20" ht="30.6" customHeight="1">
      <c r="A12" s="32">
        <v>6</v>
      </c>
      <c r="B12" s="21" t="s">
        <v>120</v>
      </c>
      <c r="C12" s="22">
        <f>VLOOKUP(B12,'FTR(Inspection)'!$B$5:$I$57,2,0)</f>
        <v>627.31350899999995</v>
      </c>
      <c r="D12" s="22">
        <f>VLOOKUP(B12,'FTR(Inspection)'!$B$5:$I$57,3,0)</f>
        <v>15.653639</v>
      </c>
      <c r="E12" s="22">
        <f>VLOOKUP(B12,'FTR(Inspection)'!$B$5:$I$57,4,0)</f>
        <v>49.108857999999998</v>
      </c>
      <c r="F12" s="22">
        <f>VLOOKUP(B12,'FTR(Inspection)'!$B$5:$I$57,5,0)</f>
        <v>14.945572</v>
      </c>
      <c r="G12" s="22">
        <f>VLOOKUP(B12,'FTR(Inspection)'!$B$5:$I$57,6,0)</f>
        <v>41.973201000000003</v>
      </c>
      <c r="H12" s="22">
        <f>VLOOKUP(B12,'FTR(Inspection)'!$B$5:$I$57,7,0)</f>
        <v>81.603629999999995</v>
      </c>
      <c r="I12" s="22">
        <f>VLOOKUP(B12,'FTR(Inspection)'!$B$5:$I$57,8,0)</f>
        <v>23.223614999999999</v>
      </c>
      <c r="J12" s="22">
        <v>507.223276</v>
      </c>
      <c r="K12" s="22">
        <v>12.922891</v>
      </c>
      <c r="L12" s="22">
        <v>48.909993</v>
      </c>
      <c r="M12" s="22">
        <v>11.78054</v>
      </c>
      <c r="N12" s="22">
        <v>43.056029000000002</v>
      </c>
      <c r="O12" s="22">
        <v>80.249418000000006</v>
      </c>
      <c r="P12" s="22">
        <v>18.702973</v>
      </c>
      <c r="Q12" s="22">
        <f t="shared" si="0"/>
        <v>80.856424853430028</v>
      </c>
      <c r="S12" t="str">
        <f>IFERROR(VLOOKUP(B12,Samples!$A:$A,1,0),"Not Found")</f>
        <v>Not Found</v>
      </c>
      <c r="T12">
        <f>COUNTIF(B12:B20,B12)</f>
        <v>1</v>
      </c>
    </row>
    <row r="13" spans="1:20" ht="30.6" customHeight="1">
      <c r="A13" s="32">
        <v>7</v>
      </c>
      <c r="B13" s="21" t="s">
        <v>109</v>
      </c>
      <c r="C13" s="22">
        <f>VLOOKUP(B13,'FTR(Inspection)'!$B$5:$I$57,2,0)</f>
        <v>632.99952099999996</v>
      </c>
      <c r="D13" s="22">
        <f>VLOOKUP(B13,'FTR(Inspection)'!$B$5:$I$57,3,0)</f>
        <v>15.621674000000001</v>
      </c>
      <c r="E13" s="22">
        <f>VLOOKUP(B13,'FTR(Inspection)'!$B$5:$I$57,4,0)</f>
        <v>49.148636000000003</v>
      </c>
      <c r="F13" s="22">
        <f>VLOOKUP(B13,'FTR(Inspection)'!$B$5:$I$57,5,0)</f>
        <v>15.026922000000001</v>
      </c>
      <c r="G13" s="22">
        <f>VLOOKUP(B13,'FTR(Inspection)'!$B$5:$I$57,6,0)</f>
        <v>42.124364</v>
      </c>
      <c r="H13" s="22">
        <f>VLOOKUP(B13,'FTR(Inspection)'!$B$5:$I$57,7,0)</f>
        <v>82.445003999999997</v>
      </c>
      <c r="I13" s="22">
        <f>VLOOKUP(B13,'FTR(Inspection)'!$B$5:$I$57,8,0)</f>
        <v>23.434116</v>
      </c>
      <c r="J13" s="22">
        <v>492.53320200000002</v>
      </c>
      <c r="K13" s="22">
        <v>12.724383</v>
      </c>
      <c r="L13" s="22">
        <v>48.743302</v>
      </c>
      <c r="M13" s="22">
        <v>11.489015999999999</v>
      </c>
      <c r="N13" s="22">
        <v>42.869922000000003</v>
      </c>
      <c r="O13" s="22">
        <v>79.411576999999994</v>
      </c>
      <c r="P13" s="22">
        <v>18.161301999999999</v>
      </c>
      <c r="Q13" s="22">
        <f t="shared" si="0"/>
        <v>77.809411486110747</v>
      </c>
      <c r="S13" t="str">
        <f>IFERROR(VLOOKUP(B13,Samples!$A:$A,1,0),"Not Found")</f>
        <v>Not Found</v>
      </c>
      <c r="T13">
        <f>COUNTIF(B13:B21,B13)</f>
        <v>1</v>
      </c>
    </row>
    <row r="14" spans="1:20" ht="30.6" customHeight="1">
      <c r="A14" s="32">
        <v>8</v>
      </c>
      <c r="B14" s="21" t="s">
        <v>110</v>
      </c>
      <c r="C14" s="22">
        <f>VLOOKUP(B14,'FTR(Inspection)'!$B$5:$I$57,2,0)</f>
        <v>634.07593599999996</v>
      </c>
      <c r="D14" s="22">
        <f>VLOOKUP(B14,'FTR(Inspection)'!$B$5:$I$57,3,0)</f>
        <v>15.670211</v>
      </c>
      <c r="E14" s="22">
        <f>VLOOKUP(B14,'FTR(Inspection)'!$B$5:$I$57,4,0)</f>
        <v>49.175786000000002</v>
      </c>
      <c r="F14" s="22">
        <f>VLOOKUP(B14,'FTR(Inspection)'!$B$5:$I$57,5,0)</f>
        <v>15.039123999999999</v>
      </c>
      <c r="G14" s="22">
        <f>VLOOKUP(B14,'FTR(Inspection)'!$B$5:$I$57,6,0)</f>
        <v>42.161759000000004</v>
      </c>
      <c r="H14" s="22">
        <f>VLOOKUP(B14,'FTR(Inspection)'!$B$5:$I$57,7,0)</f>
        <v>82.283945000000003</v>
      </c>
      <c r="I14" s="22">
        <f>VLOOKUP(B14,'FTR(Inspection)'!$B$5:$I$57,8,0)</f>
        <v>23.380444000000001</v>
      </c>
      <c r="J14" s="22">
        <v>490.15129999999999</v>
      </c>
      <c r="K14" s="22">
        <v>12.706868</v>
      </c>
      <c r="L14" s="22">
        <v>48.726961000000003</v>
      </c>
      <c r="M14" s="22">
        <v>11.427644000000001</v>
      </c>
      <c r="N14" s="22">
        <v>42.891719999999999</v>
      </c>
      <c r="O14" s="22">
        <v>79.163010999999997</v>
      </c>
      <c r="P14" s="22">
        <v>18.073474000000001</v>
      </c>
      <c r="Q14" s="22">
        <f t="shared" si="0"/>
        <v>77.301671956211877</v>
      </c>
      <c r="S14" t="str">
        <f>IFERROR(VLOOKUP(B14,Samples!$A:$A,1,0),"Not Found")</f>
        <v>Not Found</v>
      </c>
      <c r="T14">
        <f>COUNTIF(B14:B22,B14)</f>
        <v>1</v>
      </c>
    </row>
    <row r="15" spans="1:20" ht="30.6" customHeight="1">
      <c r="A15" s="32">
        <v>9</v>
      </c>
      <c r="B15" s="21" t="s">
        <v>113</v>
      </c>
      <c r="C15" s="22">
        <f>VLOOKUP(B15,'FTR(Inspection)'!$B$5:$I$57,2,0)</f>
        <v>633.540167</v>
      </c>
      <c r="D15" s="22">
        <f>VLOOKUP(B15,'FTR(Inspection)'!$B$5:$I$57,3,0)</f>
        <v>15.550670999999999</v>
      </c>
      <c r="E15" s="22">
        <f>VLOOKUP(B15,'FTR(Inspection)'!$B$5:$I$57,4,0)</f>
        <v>49.139178999999999</v>
      </c>
      <c r="F15" s="22">
        <f>VLOOKUP(B15,'FTR(Inspection)'!$B$5:$I$57,5,0)</f>
        <v>14.891914999999999</v>
      </c>
      <c r="G15" s="22">
        <f>VLOOKUP(B15,'FTR(Inspection)'!$B$5:$I$57,6,0)</f>
        <v>42.542558</v>
      </c>
      <c r="H15" s="22">
        <f>VLOOKUP(B15,'FTR(Inspection)'!$B$5:$I$57,7,0)</f>
        <v>82.908128000000005</v>
      </c>
      <c r="I15" s="22">
        <f>VLOOKUP(B15,'FTR(Inspection)'!$B$5:$I$57,8,0)</f>
        <v>23.454131</v>
      </c>
      <c r="J15" s="22">
        <v>483.98817500000001</v>
      </c>
      <c r="K15" s="22">
        <v>12.737206</v>
      </c>
      <c r="L15" s="22">
        <v>48.738883999999999</v>
      </c>
      <c r="M15" s="22">
        <v>11.288519000000001</v>
      </c>
      <c r="N15" s="22">
        <v>42.874374000000003</v>
      </c>
      <c r="O15" s="22">
        <v>77.962361000000001</v>
      </c>
      <c r="P15" s="22">
        <v>17.846219000000001</v>
      </c>
      <c r="Q15" s="22">
        <f t="shared" si="0"/>
        <v>76.39423673668982</v>
      </c>
    </row>
    <row r="16" spans="1:20" ht="30.6" customHeight="1">
      <c r="A16" s="32">
        <v>10</v>
      </c>
      <c r="B16" s="21" t="s">
        <v>114</v>
      </c>
      <c r="C16" s="22">
        <f>VLOOKUP(B16,'FTR(Inspection)'!$B$5:$I$57,2,0)</f>
        <v>633.41967899999997</v>
      </c>
      <c r="D16" s="22">
        <f>VLOOKUP(B16,'FTR(Inspection)'!$B$5:$I$57,3,0)</f>
        <v>15.621278999999999</v>
      </c>
      <c r="E16" s="22">
        <f>VLOOKUP(B16,'FTR(Inspection)'!$B$5:$I$57,4,0)</f>
        <v>49.142888999999997</v>
      </c>
      <c r="F16" s="22">
        <f>VLOOKUP(B16,'FTR(Inspection)'!$B$5:$I$57,5,0)</f>
        <v>15.054069999999999</v>
      </c>
      <c r="G16" s="22">
        <f>VLOOKUP(B16,'FTR(Inspection)'!$B$5:$I$57,6,0)</f>
        <v>42.076307</v>
      </c>
      <c r="H16" s="22">
        <f>VLOOKUP(B16,'FTR(Inspection)'!$B$5:$I$57,7,0)</f>
        <v>82.511460999999997</v>
      </c>
      <c r="I16" s="22">
        <f>VLOOKUP(B16,'FTR(Inspection)'!$B$5:$I$57,8,0)</f>
        <v>23.449670000000001</v>
      </c>
      <c r="J16" s="22">
        <v>495.11669000000001</v>
      </c>
      <c r="K16" s="22">
        <v>12.802438</v>
      </c>
      <c r="L16" s="22">
        <v>48.790657000000003</v>
      </c>
      <c r="M16" s="22">
        <v>11.542579</v>
      </c>
      <c r="N16" s="22">
        <v>42.894806000000003</v>
      </c>
      <c r="O16" s="22">
        <v>79.264409999999998</v>
      </c>
      <c r="P16" s="22">
        <v>18.256564000000001</v>
      </c>
      <c r="Q16" s="22">
        <f t="shared" si="0"/>
        <v>78.165662737484993</v>
      </c>
    </row>
    <row r="17" spans="1:17" ht="30.6" customHeight="1">
      <c r="A17" s="32">
        <v>11</v>
      </c>
      <c r="B17" s="21" t="s">
        <v>119</v>
      </c>
      <c r="C17" s="22">
        <f>VLOOKUP(B17,'FTR(Inspection)'!$B$5:$I$57,2,0)</f>
        <v>632.10565199999996</v>
      </c>
      <c r="D17" s="22">
        <f>VLOOKUP(B17,'FTR(Inspection)'!$B$5:$I$57,3,0)</f>
        <v>15.593859</v>
      </c>
      <c r="E17" s="22">
        <f>VLOOKUP(B17,'FTR(Inspection)'!$B$5:$I$57,4,0)</f>
        <v>49.368654999999997</v>
      </c>
      <c r="F17" s="22">
        <f>VLOOKUP(B17,'FTR(Inspection)'!$B$5:$I$57,5,0)</f>
        <v>14.946992</v>
      </c>
      <c r="G17" s="22">
        <f>VLOOKUP(B17,'FTR(Inspection)'!$B$5:$I$57,6,0)</f>
        <v>42.289822000000001</v>
      </c>
      <c r="H17" s="22">
        <f>VLOOKUP(B17,'FTR(Inspection)'!$B$5:$I$57,7,0)</f>
        <v>82.107867999999996</v>
      </c>
      <c r="I17" s="22">
        <f>VLOOKUP(B17,'FTR(Inspection)'!$B$5:$I$57,8,0)</f>
        <v>23.401024</v>
      </c>
      <c r="J17" s="22">
        <v>506.95696800000002</v>
      </c>
      <c r="K17" s="22">
        <v>12.895223</v>
      </c>
      <c r="L17" s="22">
        <v>48.959685999999998</v>
      </c>
      <c r="M17" s="22">
        <v>11.761108</v>
      </c>
      <c r="N17" s="22">
        <v>43.104526</v>
      </c>
      <c r="O17" s="22">
        <v>80.297794999999994</v>
      </c>
      <c r="P17" s="22">
        <v>18.693154</v>
      </c>
      <c r="Q17" s="22">
        <f t="shared" si="0"/>
        <v>80.20130280372814</v>
      </c>
    </row>
    <row r="18" spans="1:17" ht="30.6" customHeight="1">
      <c r="A18" s="32">
        <v>12</v>
      </c>
      <c r="B18" s="21" t="s">
        <v>183</v>
      </c>
      <c r="C18" s="22">
        <f>VLOOKUP(B18,'FTR(Inspection)'!$B$5:$I$57,2,0)</f>
        <v>630.99165000000005</v>
      </c>
      <c r="D18" s="22">
        <f>VLOOKUP(B18,'FTR(Inspection)'!$B$5:$I$57,3,0)</f>
        <v>16.681355</v>
      </c>
      <c r="E18" s="22">
        <f>VLOOKUP(B18,'FTR(Inspection)'!$B$5:$I$57,4,0)</f>
        <v>49.103301000000002</v>
      </c>
      <c r="F18" s="22">
        <f>VLOOKUP(B18,'FTR(Inspection)'!$B$5:$I$57,5,0)</f>
        <v>15.999639999999999</v>
      </c>
      <c r="G18" s="22">
        <f>VLOOKUP(B18,'FTR(Inspection)'!$B$5:$I$57,6,0)</f>
        <v>39.437866999999997</v>
      </c>
      <c r="H18" s="22">
        <f>VLOOKUP(B18,'FTR(Inspection)'!$B$5:$I$57,7,0)</f>
        <v>77.033851999999996</v>
      </c>
      <c r="I18" s="22">
        <f>VLOOKUP(B18,'FTR(Inspection)'!$B$5:$I$57,8,0)</f>
        <v>23.359783</v>
      </c>
      <c r="J18" s="22">
        <v>500.95268099999998</v>
      </c>
      <c r="K18" s="22">
        <v>12.984662</v>
      </c>
      <c r="L18" s="22">
        <v>48.801287000000002</v>
      </c>
      <c r="M18" s="22">
        <v>11.662319999999999</v>
      </c>
      <c r="N18" s="22">
        <v>42.954802999999998</v>
      </c>
      <c r="O18" s="22">
        <v>79.055992000000003</v>
      </c>
      <c r="P18" s="22">
        <v>18.471755999999999</v>
      </c>
      <c r="Q18" s="22">
        <f t="shared" si="0"/>
        <v>79.391332833009756</v>
      </c>
    </row>
    <row r="19" spans="1:17" ht="30.6" customHeight="1">
      <c r="A19" s="32">
        <v>13</v>
      </c>
      <c r="B19" s="21" t="s">
        <v>118</v>
      </c>
      <c r="C19" s="22">
        <f>VLOOKUP(B19,'FTR(Inspection)'!$B$5:$I$57,2,0)</f>
        <v>626.61762899999997</v>
      </c>
      <c r="D19" s="22">
        <f>VLOOKUP(B19,'FTR(Inspection)'!$B$5:$I$57,3,0)</f>
        <v>15.620760000000001</v>
      </c>
      <c r="E19" s="22">
        <f>VLOOKUP(B19,'FTR(Inspection)'!$B$5:$I$57,4,0)</f>
        <v>49.159261000000001</v>
      </c>
      <c r="F19" s="22">
        <f>VLOOKUP(B19,'FTR(Inspection)'!$B$5:$I$57,5,0)</f>
        <v>14.901529</v>
      </c>
      <c r="G19" s="22">
        <f>VLOOKUP(B19,'FTR(Inspection)'!$B$5:$I$57,6,0)</f>
        <v>42.050558000000002</v>
      </c>
      <c r="H19" s="22">
        <f>VLOOKUP(B19,'FTR(Inspection)'!$B$5:$I$57,7,0)</f>
        <v>81.600928999999994</v>
      </c>
      <c r="I19" s="22">
        <f>VLOOKUP(B19,'FTR(Inspection)'!$B$5:$I$57,8,0)</f>
        <v>23.197852999999999</v>
      </c>
      <c r="J19" s="22">
        <v>485.05106999999998</v>
      </c>
      <c r="K19" s="22">
        <v>12.683717</v>
      </c>
      <c r="L19" s="22">
        <v>48.891911</v>
      </c>
      <c r="M19" s="22">
        <v>11.278250999999999</v>
      </c>
      <c r="N19" s="22">
        <v>43.007651000000003</v>
      </c>
      <c r="O19" s="22">
        <v>78.217495</v>
      </c>
      <c r="P19" s="22">
        <v>17.885411999999999</v>
      </c>
      <c r="Q19" s="22">
        <f t="shared" si="0"/>
        <v>77.407823775095224</v>
      </c>
    </row>
    <row r="20" spans="1:17" ht="30.6" customHeight="1">
      <c r="A20" s="32">
        <v>14</v>
      </c>
      <c r="B20" s="21" t="s">
        <v>117</v>
      </c>
      <c r="C20" s="22">
        <f>VLOOKUP(B20,'FTR(Inspection)'!$B$5:$I$57,2,0)</f>
        <v>637.20377499999995</v>
      </c>
      <c r="D20" s="22">
        <f>VLOOKUP(B20,'FTR(Inspection)'!$B$5:$I$57,3,0)</f>
        <v>15.585502999999999</v>
      </c>
      <c r="E20" s="22">
        <f>VLOOKUP(B20,'FTR(Inspection)'!$B$5:$I$57,4,0)</f>
        <v>49.285431000000003</v>
      </c>
      <c r="F20" s="22">
        <f>VLOOKUP(B20,'FTR(Inspection)'!$B$5:$I$57,5,0)</f>
        <v>14.933111999999999</v>
      </c>
      <c r="G20" s="22">
        <f>VLOOKUP(B20,'FTR(Inspection)'!$B$5:$I$57,6,0)</f>
        <v>42.670529000000002</v>
      </c>
      <c r="H20" s="22">
        <f>VLOOKUP(B20,'FTR(Inspection)'!$B$5:$I$57,7,0)</f>
        <v>82.954312999999999</v>
      </c>
      <c r="I20" s="22">
        <f>VLOOKUP(B20,'FTR(Inspection)'!$B$5:$I$57,8,0)</f>
        <v>23.589759999999998</v>
      </c>
      <c r="J20" s="22">
        <v>488.20614999999998</v>
      </c>
      <c r="K20" s="22">
        <v>12.6676</v>
      </c>
      <c r="L20" s="22">
        <v>48.89228</v>
      </c>
      <c r="M20" s="22">
        <v>11.352872</v>
      </c>
      <c r="N20" s="22">
        <v>43.002876999999998</v>
      </c>
      <c r="O20" s="22">
        <v>78.825839999999999</v>
      </c>
      <c r="P20" s="22">
        <v>18.001750000000001</v>
      </c>
      <c r="Q20" s="22">
        <f t="shared" si="0"/>
        <v>76.61695820932637</v>
      </c>
    </row>
  </sheetData>
  <autoFilter ref="A5:Q6" xr:uid="{4CC248AB-746D-4E2F-9835-51404CBEB3BF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8:Q20">
      <sortCondition ref="B5:B6"/>
    </sortState>
  </autoFilter>
  <mergeCells count="9">
    <mergeCell ref="B5:B6"/>
    <mergeCell ref="Q5:Q6"/>
    <mergeCell ref="A5:A6"/>
    <mergeCell ref="A1:Q1"/>
    <mergeCell ref="A2:Q2"/>
    <mergeCell ref="A3:Q3"/>
    <mergeCell ref="A4:Q4"/>
    <mergeCell ref="J5:P5"/>
    <mergeCell ref="C5:I5"/>
  </mergeCells>
  <conditionalFormatting sqref="B1:B1048576">
    <cfRule type="duplicateValues" dxfId="63" priority="1"/>
  </conditionalFormatting>
  <conditionalFormatting sqref="B7:B20">
    <cfRule type="duplicateValues" dxfId="62" priority="671"/>
  </conditionalFormatting>
  <pageMargins left="0.7" right="0.7" top="0.75" bottom="0.75" header="0.3" footer="0.3"/>
  <pageSetup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5"/>
  <sheetViews>
    <sheetView view="pageBreakPreview" zoomScale="70" zoomScaleNormal="100" zoomScaleSheetLayoutView="70" workbookViewId="0">
      <selection activeCell="D5" sqref="D5"/>
    </sheetView>
  </sheetViews>
  <sheetFormatPr defaultRowHeight="14.4"/>
  <cols>
    <col min="1" max="1" width="11.21875" customWidth="1"/>
    <col min="2" max="2" width="90.33203125" style="1" customWidth="1"/>
    <col min="3" max="3" width="85.6640625" bestFit="1" customWidth="1"/>
    <col min="4" max="4" width="76.6640625" customWidth="1"/>
    <col min="6" max="6" width="22.6640625" bestFit="1" customWidth="1"/>
  </cols>
  <sheetData>
    <row r="1" spans="1:7" ht="31.2">
      <c r="A1" s="69" t="s">
        <v>4</v>
      </c>
      <c r="B1" s="70"/>
      <c r="C1" s="70"/>
      <c r="D1" s="70"/>
    </row>
    <row r="2" spans="1:7" ht="29.55" customHeight="1">
      <c r="A2" s="71" t="s">
        <v>25</v>
      </c>
      <c r="B2" s="72"/>
      <c r="C2" s="72"/>
      <c r="D2" s="72"/>
    </row>
    <row r="3" spans="1:7" ht="30.45" customHeight="1">
      <c r="A3" s="73" t="s">
        <v>187</v>
      </c>
      <c r="B3" s="74"/>
      <c r="C3" s="74"/>
      <c r="D3" s="74"/>
    </row>
    <row r="4" spans="1:7" ht="31.2">
      <c r="A4" s="75" t="s">
        <v>91</v>
      </c>
      <c r="B4" s="76"/>
      <c r="C4" s="76"/>
      <c r="D4" s="76"/>
    </row>
    <row r="5" spans="1:7" ht="57.6">
      <c r="A5" s="25" t="s">
        <v>2</v>
      </c>
      <c r="B5" s="26" t="s">
        <v>0</v>
      </c>
      <c r="C5" s="27" t="s">
        <v>7</v>
      </c>
      <c r="D5" s="26" t="s">
        <v>35</v>
      </c>
      <c r="F5" t="str">
        <f>IFERROR(VLOOKUP(B6,Samples!$A:$A,1,0),"Not Found")</f>
        <v>Not Found</v>
      </c>
      <c r="G5">
        <f>COUNTIF(B5:B56,B5)</f>
        <v>1</v>
      </c>
    </row>
    <row r="6" spans="1:7" ht="46.2">
      <c r="A6" s="23">
        <v>1</v>
      </c>
      <c r="B6" s="24" t="s">
        <v>107</v>
      </c>
      <c r="C6" s="24" t="s">
        <v>68</v>
      </c>
      <c r="D6" s="24" t="s">
        <v>6</v>
      </c>
      <c r="F6" t="str">
        <f>IFERROR(VLOOKUP(B7,Samples!$A:$A,1,0),"Not Found")</f>
        <v>Not Found</v>
      </c>
      <c r="G6">
        <f>COUNTIF(B6:B56,B6)</f>
        <v>1</v>
      </c>
    </row>
    <row r="7" spans="1:7" ht="46.2">
      <c r="A7" s="23">
        <v>2</v>
      </c>
      <c r="B7" s="24" t="s">
        <v>108</v>
      </c>
      <c r="C7" s="24" t="s">
        <v>68</v>
      </c>
      <c r="D7" s="24" t="s">
        <v>6</v>
      </c>
      <c r="F7" t="str">
        <f>IFERROR(VLOOKUP(B8,Samples!$A:$A,1,0),"Not Found")</f>
        <v>Not Found</v>
      </c>
      <c r="G7">
        <f>COUNTIF(B7:B56,B7)</f>
        <v>1</v>
      </c>
    </row>
    <row r="8" spans="1:7" ht="46.2">
      <c r="A8" s="23">
        <v>3</v>
      </c>
      <c r="B8" s="24" t="s">
        <v>109</v>
      </c>
      <c r="C8" s="24" t="s">
        <v>68</v>
      </c>
      <c r="D8" s="24" t="s">
        <v>6</v>
      </c>
      <c r="F8" t="str">
        <f>IFERROR(VLOOKUP(B9,Samples!$A:$A,1,0),"Not Found")</f>
        <v>Not Found</v>
      </c>
      <c r="G8">
        <f>COUNTIF(B8:B56,B8)</f>
        <v>1</v>
      </c>
    </row>
    <row r="9" spans="1:7" ht="46.2">
      <c r="A9" s="23">
        <v>4</v>
      </c>
      <c r="B9" s="24" t="s">
        <v>110</v>
      </c>
      <c r="C9" s="24" t="s">
        <v>68</v>
      </c>
      <c r="D9" s="24" t="s">
        <v>6</v>
      </c>
      <c r="F9" t="str">
        <f>IFERROR(VLOOKUP(B10,Samples!$A:$A,1,0),"Not Found")</f>
        <v>Not Found</v>
      </c>
      <c r="G9">
        <f>COUNTIF(B9:B56,B9)</f>
        <v>1</v>
      </c>
    </row>
    <row r="10" spans="1:7" ht="46.2">
      <c r="A10" s="23">
        <v>5</v>
      </c>
      <c r="B10" s="24" t="s">
        <v>111</v>
      </c>
      <c r="C10" s="24" t="s">
        <v>68</v>
      </c>
      <c r="D10" s="24" t="s">
        <v>6</v>
      </c>
      <c r="F10" t="str">
        <f>IFERROR(VLOOKUP(B11,Samples!$A:$A,1,0),"Not Found")</f>
        <v>Not Found</v>
      </c>
      <c r="G10">
        <f>COUNTIF(B10:B56,B10)</f>
        <v>1</v>
      </c>
    </row>
    <row r="11" spans="1:7" ht="46.2">
      <c r="A11" s="23">
        <v>6</v>
      </c>
      <c r="B11" s="24" t="s">
        <v>112</v>
      </c>
      <c r="C11" s="24" t="s">
        <v>68</v>
      </c>
      <c r="D11" s="24" t="s">
        <v>6</v>
      </c>
      <c r="F11" t="str">
        <f>IFERROR(VLOOKUP(B12,Samples!$A:$A,1,0),"Not Found")</f>
        <v>Not Found</v>
      </c>
      <c r="G11">
        <f>COUNTIF(B11:B56,B11)</f>
        <v>1</v>
      </c>
    </row>
    <row r="12" spans="1:7" ht="46.2">
      <c r="A12" s="23">
        <v>7</v>
      </c>
      <c r="B12" s="24" t="s">
        <v>113</v>
      </c>
      <c r="C12" s="24" t="s">
        <v>68</v>
      </c>
      <c r="D12" s="24" t="s">
        <v>6</v>
      </c>
      <c r="F12" t="str">
        <f>IFERROR(VLOOKUP(B13,Samples!$A:$A,1,0),"Not Found")</f>
        <v>Not Found</v>
      </c>
      <c r="G12">
        <f>COUNTIF(B12:B56,B12)</f>
        <v>1</v>
      </c>
    </row>
    <row r="13" spans="1:7" ht="46.2">
      <c r="A13" s="23">
        <v>8</v>
      </c>
      <c r="B13" s="24" t="s">
        <v>114</v>
      </c>
      <c r="C13" s="24" t="s">
        <v>68</v>
      </c>
      <c r="D13" s="24" t="s">
        <v>6</v>
      </c>
      <c r="F13" t="str">
        <f>IFERROR(VLOOKUP(B14,Samples!$A:$A,1,0),"Not Found")</f>
        <v>Not Found</v>
      </c>
      <c r="G13">
        <f>COUNTIF(B13:B56,B13)</f>
        <v>1</v>
      </c>
    </row>
    <row r="14" spans="1:7" ht="46.2">
      <c r="A14" s="23">
        <v>9</v>
      </c>
      <c r="B14" s="24" t="s">
        <v>115</v>
      </c>
      <c r="C14" s="24" t="s">
        <v>68</v>
      </c>
      <c r="D14" s="24" t="s">
        <v>6</v>
      </c>
      <c r="F14" t="str">
        <f>IFERROR(VLOOKUP(B15,Samples!$A:$A,1,0),"Not Found")</f>
        <v>Not Found</v>
      </c>
      <c r="G14">
        <f>COUNTIF(B14:B56,B14)</f>
        <v>1</v>
      </c>
    </row>
    <row r="15" spans="1:7" ht="46.2">
      <c r="A15" s="23">
        <v>10</v>
      </c>
      <c r="B15" s="24" t="s">
        <v>116</v>
      </c>
      <c r="C15" s="24" t="s">
        <v>68</v>
      </c>
      <c r="D15" s="24" t="s">
        <v>6</v>
      </c>
      <c r="F15" t="str">
        <f>IFERROR(VLOOKUP(B16,Samples!$A:$A,1,0),"Not Found")</f>
        <v>Not Found</v>
      </c>
      <c r="G15">
        <f>COUNTIF(B15:B56,B15)</f>
        <v>1</v>
      </c>
    </row>
    <row r="16" spans="1:7" ht="46.2">
      <c r="A16" s="23">
        <v>11</v>
      </c>
      <c r="B16" s="24" t="s">
        <v>117</v>
      </c>
      <c r="C16" s="24" t="s">
        <v>68</v>
      </c>
      <c r="D16" s="24" t="s">
        <v>6</v>
      </c>
      <c r="F16" t="str">
        <f>IFERROR(VLOOKUP(B17,Samples!$A:$A,1,0),"Not Found")</f>
        <v>Not Found</v>
      </c>
      <c r="G16">
        <f>COUNTIF(B16:B56,B16)</f>
        <v>1</v>
      </c>
    </row>
    <row r="17" spans="1:7" ht="46.2">
      <c r="A17" s="23">
        <v>12</v>
      </c>
      <c r="B17" s="24" t="s">
        <v>118</v>
      </c>
      <c r="C17" s="24" t="s">
        <v>68</v>
      </c>
      <c r="D17" s="24" t="s">
        <v>6</v>
      </c>
      <c r="F17" t="str">
        <f>IFERROR(VLOOKUP(B18,Samples!$A:$A,1,0),"Not Found")</f>
        <v>Not Found</v>
      </c>
      <c r="G17">
        <f>COUNTIF(B17:B56,B17)</f>
        <v>1</v>
      </c>
    </row>
    <row r="18" spans="1:7" ht="46.2">
      <c r="A18" s="23">
        <v>13</v>
      </c>
      <c r="B18" s="24" t="s">
        <v>119</v>
      </c>
      <c r="C18" s="24" t="s">
        <v>68</v>
      </c>
      <c r="D18" s="24" t="s">
        <v>6</v>
      </c>
      <c r="F18" t="str">
        <f>IFERROR(VLOOKUP(B19,Samples!$A:$A,1,0),"Not Found")</f>
        <v>Not Found</v>
      </c>
      <c r="G18">
        <f>COUNTIF(B18:B56,B18)</f>
        <v>1</v>
      </c>
    </row>
    <row r="19" spans="1:7" ht="46.2">
      <c r="A19" s="23">
        <v>14</v>
      </c>
      <c r="B19" s="24" t="s">
        <v>120</v>
      </c>
      <c r="C19" s="24" t="s">
        <v>68</v>
      </c>
      <c r="D19" s="24" t="s">
        <v>6</v>
      </c>
      <c r="F19" t="str">
        <f>IFERROR(VLOOKUP(B20,Samples!$A:$A,1,0),"Not Found")</f>
        <v>Not Found</v>
      </c>
      <c r="G19">
        <f>COUNTIF(B19:B56,B19)</f>
        <v>1</v>
      </c>
    </row>
    <row r="20" spans="1:7" ht="46.2">
      <c r="A20" s="23">
        <v>15</v>
      </c>
      <c r="B20" s="24" t="s">
        <v>121</v>
      </c>
      <c r="C20" s="24" t="s">
        <v>68</v>
      </c>
      <c r="D20" s="24" t="s">
        <v>6</v>
      </c>
      <c r="F20" t="str">
        <f>IFERROR(VLOOKUP(B21,Samples!$A:$A,1,0),"Not Found")</f>
        <v>Not Found</v>
      </c>
      <c r="G20">
        <f>COUNTIF(B20:B56,B20)</f>
        <v>1</v>
      </c>
    </row>
    <row r="21" spans="1:7" ht="46.2">
      <c r="A21" s="23">
        <v>16</v>
      </c>
      <c r="B21" s="24" t="s">
        <v>122</v>
      </c>
      <c r="C21" s="24" t="s">
        <v>68</v>
      </c>
      <c r="D21" s="24" t="s">
        <v>6</v>
      </c>
      <c r="F21" t="str">
        <f>IFERROR(VLOOKUP(B22,Samples!$A:$A,1,0),"Not Found")</f>
        <v>Not Found</v>
      </c>
      <c r="G21">
        <f>COUNTIF(B21:B56,B21)</f>
        <v>1</v>
      </c>
    </row>
    <row r="22" spans="1:7" ht="46.2">
      <c r="A22" s="23">
        <v>17</v>
      </c>
      <c r="B22" s="24" t="s">
        <v>123</v>
      </c>
      <c r="C22" s="24" t="s">
        <v>68</v>
      </c>
      <c r="D22" s="24" t="s">
        <v>6</v>
      </c>
      <c r="F22" t="str">
        <f>IFERROR(VLOOKUP(B23,Samples!$A:$A,1,0),"Not Found")</f>
        <v>Not Found</v>
      </c>
      <c r="G22">
        <f>COUNTIF(B22:B56,B22)</f>
        <v>1</v>
      </c>
    </row>
    <row r="23" spans="1:7" ht="46.2">
      <c r="A23" s="23">
        <v>18</v>
      </c>
      <c r="B23" s="24" t="s">
        <v>124</v>
      </c>
      <c r="C23" s="24" t="s">
        <v>68</v>
      </c>
      <c r="D23" s="24" t="s">
        <v>6</v>
      </c>
      <c r="F23" t="str">
        <f>IFERROR(VLOOKUP(B24,Samples!$A:$A,1,0),"Not Found")</f>
        <v>Not Found</v>
      </c>
      <c r="G23">
        <f>COUNTIF(B23:B56,B23)</f>
        <v>1</v>
      </c>
    </row>
    <row r="24" spans="1:7" ht="46.2">
      <c r="A24" s="23">
        <v>19</v>
      </c>
      <c r="B24" s="24" t="s">
        <v>125</v>
      </c>
      <c r="C24" s="24" t="s">
        <v>68</v>
      </c>
      <c r="D24" s="24" t="s">
        <v>6</v>
      </c>
      <c r="F24" t="str">
        <f>IFERROR(VLOOKUP(B25,Samples!$A:$A,1,0),"Not Found")</f>
        <v>Not Found</v>
      </c>
      <c r="G24">
        <f>COUNTIF(B24:B56,B24)</f>
        <v>1</v>
      </c>
    </row>
    <row r="25" spans="1:7" ht="46.2">
      <c r="A25" s="23">
        <v>20</v>
      </c>
      <c r="B25" s="24" t="s">
        <v>126</v>
      </c>
      <c r="C25" s="24" t="s">
        <v>68</v>
      </c>
      <c r="D25" s="24" t="s">
        <v>6</v>
      </c>
      <c r="F25" t="str">
        <f>IFERROR(VLOOKUP(B26,Samples!$A:$A,1,0),"Not Found")</f>
        <v>Not Found</v>
      </c>
      <c r="G25">
        <f>COUNTIF(B25:B56,B25)</f>
        <v>1</v>
      </c>
    </row>
    <row r="26" spans="1:7" ht="46.2">
      <c r="A26" s="23">
        <v>21</v>
      </c>
      <c r="B26" s="24" t="s">
        <v>127</v>
      </c>
      <c r="C26" s="24" t="s">
        <v>68</v>
      </c>
      <c r="D26" s="24" t="s">
        <v>6</v>
      </c>
      <c r="F26" t="str">
        <f>IFERROR(VLOOKUP(B27,Samples!$A:$A,1,0),"Not Found")</f>
        <v>Not Found</v>
      </c>
      <c r="G26">
        <f>COUNTIF(B26:B56,B26)</f>
        <v>1</v>
      </c>
    </row>
    <row r="27" spans="1:7" ht="46.2">
      <c r="A27" s="23">
        <v>22</v>
      </c>
      <c r="B27" s="24" t="s">
        <v>128</v>
      </c>
      <c r="C27" s="24" t="s">
        <v>68</v>
      </c>
      <c r="D27" s="24" t="s">
        <v>6</v>
      </c>
      <c r="F27" t="str">
        <f>IFERROR(VLOOKUP(B28,Samples!$A:$A,1,0),"Not Found")</f>
        <v>Not Found</v>
      </c>
      <c r="G27">
        <f>COUNTIF(B27:B56,B27)</f>
        <v>1</v>
      </c>
    </row>
    <row r="28" spans="1:7" ht="46.2">
      <c r="A28" s="23">
        <v>23</v>
      </c>
      <c r="B28" s="24" t="s">
        <v>129</v>
      </c>
      <c r="C28" s="24" t="s">
        <v>68</v>
      </c>
      <c r="D28" s="24" t="s">
        <v>6</v>
      </c>
      <c r="F28" t="str">
        <f>IFERROR(VLOOKUP(B29,Samples!$A:$A,1,0),"Not Found")</f>
        <v>Not Found</v>
      </c>
      <c r="G28">
        <f>COUNTIF(B28:B56,B28)</f>
        <v>1</v>
      </c>
    </row>
    <row r="29" spans="1:7" ht="46.2">
      <c r="A29" s="23">
        <v>24</v>
      </c>
      <c r="B29" s="24" t="s">
        <v>183</v>
      </c>
      <c r="C29" s="24" t="s">
        <v>68</v>
      </c>
      <c r="D29" s="24" t="s">
        <v>6</v>
      </c>
      <c r="F29" t="str">
        <f>IFERROR(VLOOKUP(B30,Samples!$A:$A,1,0),"Not Found")</f>
        <v>Not Found</v>
      </c>
      <c r="G29">
        <f>COUNTIF(B29:B56,B29)</f>
        <v>1</v>
      </c>
    </row>
    <row r="30" spans="1:7" ht="46.2">
      <c r="A30" s="23">
        <v>25</v>
      </c>
      <c r="B30" s="24" t="s">
        <v>130</v>
      </c>
      <c r="C30" s="24" t="s">
        <v>68</v>
      </c>
      <c r="D30" s="24" t="s">
        <v>6</v>
      </c>
      <c r="F30" t="str">
        <f>IFERROR(VLOOKUP(B31,Samples!$A:$A,1,0),"Not Found")</f>
        <v>Not Found</v>
      </c>
      <c r="G30">
        <f>COUNTIF(B30:B56,B30)</f>
        <v>1</v>
      </c>
    </row>
    <row r="31" spans="1:7" ht="46.2">
      <c r="A31" s="23">
        <v>26</v>
      </c>
      <c r="B31" s="24" t="s">
        <v>131</v>
      </c>
      <c r="C31" s="24" t="s">
        <v>68</v>
      </c>
      <c r="D31" s="24" t="s">
        <v>6</v>
      </c>
      <c r="F31" t="str">
        <f>IFERROR(VLOOKUP(B32,Samples!$A:$A,1,0),"Not Found")</f>
        <v>Not Found</v>
      </c>
      <c r="G31">
        <f>COUNTIF(B31:B56,B31)</f>
        <v>1</v>
      </c>
    </row>
    <row r="32" spans="1:7" ht="46.2">
      <c r="A32" s="23">
        <v>27</v>
      </c>
      <c r="B32" s="24" t="s">
        <v>132</v>
      </c>
      <c r="C32" s="24" t="s">
        <v>68</v>
      </c>
      <c r="D32" s="24" t="s">
        <v>6</v>
      </c>
      <c r="F32" t="str">
        <f>IFERROR(VLOOKUP(B33,Samples!$A:$A,1,0),"Not Found")</f>
        <v>Not Found</v>
      </c>
      <c r="G32">
        <f>COUNTIF(B32:B56,B32)</f>
        <v>1</v>
      </c>
    </row>
    <row r="33" spans="1:7" ht="46.2">
      <c r="A33" s="23">
        <v>28</v>
      </c>
      <c r="B33" s="24" t="s">
        <v>133</v>
      </c>
      <c r="C33" s="24" t="s">
        <v>68</v>
      </c>
      <c r="D33" s="24" t="s">
        <v>6</v>
      </c>
      <c r="F33" t="str">
        <f>IFERROR(VLOOKUP(B34,Samples!$A:$A,1,0),"Not Found")</f>
        <v>Not Found</v>
      </c>
      <c r="G33">
        <f>COUNTIF(B33:B56,B33)</f>
        <v>1</v>
      </c>
    </row>
    <row r="34" spans="1:7" ht="46.2">
      <c r="A34" s="23">
        <v>29</v>
      </c>
      <c r="B34" s="24" t="s">
        <v>134</v>
      </c>
      <c r="C34" s="24" t="s">
        <v>68</v>
      </c>
      <c r="D34" s="24" t="s">
        <v>6</v>
      </c>
      <c r="F34" t="str">
        <f>IFERROR(VLOOKUP(B35,Samples!$A:$A,1,0),"Not Found")</f>
        <v>Not Found</v>
      </c>
      <c r="G34">
        <f>COUNTIF(B34:B56,B34)</f>
        <v>1</v>
      </c>
    </row>
    <row r="35" spans="1:7" ht="46.2">
      <c r="A35" s="23">
        <v>30</v>
      </c>
      <c r="B35" s="24" t="s">
        <v>135</v>
      </c>
      <c r="C35" s="24" t="s">
        <v>68</v>
      </c>
      <c r="D35" s="24" t="s">
        <v>6</v>
      </c>
      <c r="F35" t="str">
        <f>IFERROR(VLOOKUP(B36,Samples!$A:$A,1,0),"Not Found")</f>
        <v>Not Found</v>
      </c>
      <c r="G35">
        <f>COUNTIF(B35:B56,B35)</f>
        <v>1</v>
      </c>
    </row>
    <row r="36" spans="1:7" ht="46.2">
      <c r="A36" s="23">
        <v>31</v>
      </c>
      <c r="B36" s="24" t="s">
        <v>136</v>
      </c>
      <c r="C36" s="24" t="s">
        <v>68</v>
      </c>
      <c r="D36" s="24" t="s">
        <v>6</v>
      </c>
      <c r="F36" t="str">
        <f>IFERROR(VLOOKUP(B37,Samples!$A:$A,1,0),"Not Found")</f>
        <v>Not Found</v>
      </c>
      <c r="G36">
        <f>COUNTIF(B36:B56,B36)</f>
        <v>1</v>
      </c>
    </row>
    <row r="37" spans="1:7" ht="46.2">
      <c r="A37" s="23">
        <v>32</v>
      </c>
      <c r="B37" s="24" t="s">
        <v>137</v>
      </c>
      <c r="C37" s="24" t="s">
        <v>68</v>
      </c>
      <c r="D37" s="24" t="s">
        <v>6</v>
      </c>
      <c r="F37" t="str">
        <f>IFERROR(VLOOKUP(B38,Samples!$A:$A,1,0),"Not Found")</f>
        <v>Not Found</v>
      </c>
      <c r="G37">
        <f>COUNTIF(B37:B56,B37)</f>
        <v>1</v>
      </c>
    </row>
    <row r="38" spans="1:7" ht="46.2">
      <c r="A38" s="23">
        <v>33</v>
      </c>
      <c r="B38" s="24" t="s">
        <v>138</v>
      </c>
      <c r="C38" s="24" t="s">
        <v>68</v>
      </c>
      <c r="D38" s="24" t="s">
        <v>6</v>
      </c>
      <c r="F38" t="str">
        <f>IFERROR(VLOOKUP(B39,Samples!$A:$A,1,0),"Not Found")</f>
        <v>Not Found</v>
      </c>
      <c r="G38">
        <f>COUNTIF(B38:B56,B38)</f>
        <v>1</v>
      </c>
    </row>
    <row r="39" spans="1:7" ht="46.2">
      <c r="A39" s="23">
        <v>34</v>
      </c>
      <c r="B39" s="24" t="s">
        <v>139</v>
      </c>
      <c r="C39" s="24" t="s">
        <v>68</v>
      </c>
      <c r="D39" s="24" t="s">
        <v>6</v>
      </c>
      <c r="F39" t="str">
        <f>IFERROR(VLOOKUP(B40,Samples!$A:$A,1,0),"Not Found")</f>
        <v>Not Found</v>
      </c>
      <c r="G39">
        <f>COUNTIF(B39:B56,B39)</f>
        <v>1</v>
      </c>
    </row>
    <row r="40" spans="1:7" ht="46.2">
      <c r="A40" s="23">
        <v>35</v>
      </c>
      <c r="B40" s="24" t="s">
        <v>140</v>
      </c>
      <c r="C40" s="24" t="s">
        <v>68</v>
      </c>
      <c r="D40" s="24" t="s">
        <v>6</v>
      </c>
      <c r="F40" t="str">
        <f>IFERROR(VLOOKUP(B41,Samples!$A:$A,1,0),"Not Found")</f>
        <v>Not Found</v>
      </c>
      <c r="G40">
        <f>COUNTIF(B40:B56,B40)</f>
        <v>1</v>
      </c>
    </row>
    <row r="41" spans="1:7" ht="46.2">
      <c r="A41" s="23">
        <v>36</v>
      </c>
      <c r="B41" s="24" t="s">
        <v>141</v>
      </c>
      <c r="C41" s="24" t="s">
        <v>68</v>
      </c>
      <c r="D41" s="24" t="s">
        <v>6</v>
      </c>
      <c r="F41" t="str">
        <f>IFERROR(VLOOKUP(B42,Samples!$A:$A,1,0),"Not Found")</f>
        <v>Not Found</v>
      </c>
      <c r="G41">
        <f>COUNTIF(B41:B56,B41)</f>
        <v>1</v>
      </c>
    </row>
    <row r="42" spans="1:7" ht="46.2">
      <c r="A42" s="23">
        <v>37</v>
      </c>
      <c r="B42" s="24" t="s">
        <v>142</v>
      </c>
      <c r="C42" s="24" t="s">
        <v>68</v>
      </c>
      <c r="D42" s="24" t="s">
        <v>6</v>
      </c>
      <c r="F42" t="str">
        <f>IFERROR(VLOOKUP(B43,Samples!$A:$A,1,0),"Not Found")</f>
        <v>Not Found</v>
      </c>
      <c r="G42">
        <f>COUNTIF(B42:B56,B42)</f>
        <v>1</v>
      </c>
    </row>
    <row r="43" spans="1:7" ht="46.2">
      <c r="A43" s="23">
        <v>38</v>
      </c>
      <c r="B43" s="24" t="s">
        <v>143</v>
      </c>
      <c r="C43" s="24" t="s">
        <v>68</v>
      </c>
      <c r="D43" s="24" t="s">
        <v>6</v>
      </c>
      <c r="F43" t="str">
        <f>IFERROR(VLOOKUP(B44,Samples!$A:$A,1,0),"Not Found")</f>
        <v>Not Found</v>
      </c>
      <c r="G43">
        <f>COUNTIF(B43:B56,B43)</f>
        <v>1</v>
      </c>
    </row>
    <row r="44" spans="1:7" ht="46.2">
      <c r="A44" s="23">
        <v>39</v>
      </c>
      <c r="B44" s="24" t="s">
        <v>144</v>
      </c>
      <c r="C44" s="24" t="s">
        <v>68</v>
      </c>
      <c r="D44" s="24" t="s">
        <v>6</v>
      </c>
      <c r="F44" t="str">
        <f>IFERROR(VLOOKUP(B45,Samples!$A:$A,1,0),"Not Found")</f>
        <v>Not Found</v>
      </c>
      <c r="G44">
        <f>COUNTIF(B44:B56,B44)</f>
        <v>1</v>
      </c>
    </row>
    <row r="45" spans="1:7" ht="46.2">
      <c r="A45" s="23">
        <v>40</v>
      </c>
      <c r="B45" s="24" t="s">
        <v>145</v>
      </c>
      <c r="C45" s="24" t="s">
        <v>68</v>
      </c>
      <c r="D45" s="24" t="s">
        <v>6</v>
      </c>
      <c r="F45" t="str">
        <f>IFERROR(VLOOKUP(B46,Samples!$A:$A,1,0),"Not Found")</f>
        <v>Not Found</v>
      </c>
      <c r="G45">
        <f>COUNTIF(B45:B56,B45)</f>
        <v>1</v>
      </c>
    </row>
    <row r="46" spans="1:7" ht="46.2">
      <c r="A46" s="23">
        <v>41</v>
      </c>
      <c r="B46" s="24" t="s">
        <v>146</v>
      </c>
      <c r="C46" s="24" t="s">
        <v>68</v>
      </c>
      <c r="D46" s="24" t="s">
        <v>6</v>
      </c>
      <c r="F46" t="str">
        <f>IFERROR(VLOOKUP(B47,Samples!$A:$A,1,0),"Not Found")</f>
        <v>Not Found</v>
      </c>
      <c r="G46">
        <f>COUNTIF(B46:B56,B46)</f>
        <v>1</v>
      </c>
    </row>
    <row r="47" spans="1:7" ht="46.2">
      <c r="A47" s="23">
        <v>42</v>
      </c>
      <c r="B47" s="24" t="s">
        <v>147</v>
      </c>
      <c r="C47" s="24" t="s">
        <v>68</v>
      </c>
      <c r="D47" s="24" t="s">
        <v>6</v>
      </c>
      <c r="F47" t="str">
        <f>IFERROR(VLOOKUP(B48,Samples!$A:$A,1,0),"Not Found")</f>
        <v>Not Found</v>
      </c>
      <c r="G47">
        <f>COUNTIF(B47:B56,B47)</f>
        <v>1</v>
      </c>
    </row>
    <row r="48" spans="1:7" ht="46.2">
      <c r="A48" s="23">
        <v>43</v>
      </c>
      <c r="B48" s="24" t="s">
        <v>148</v>
      </c>
      <c r="C48" s="24" t="s">
        <v>68</v>
      </c>
      <c r="D48" s="24" t="s">
        <v>6</v>
      </c>
      <c r="F48" t="str">
        <f>IFERROR(VLOOKUP(B49,Samples!$A:$A,1,0),"Not Found")</f>
        <v>Not Found</v>
      </c>
      <c r="G48">
        <f>COUNTIF(B48:B56,B48)</f>
        <v>1</v>
      </c>
    </row>
    <row r="49" spans="1:7" ht="46.2">
      <c r="A49" s="23">
        <v>44</v>
      </c>
      <c r="B49" s="24" t="s">
        <v>149</v>
      </c>
      <c r="C49" s="24" t="s">
        <v>68</v>
      </c>
      <c r="D49" s="24" t="s">
        <v>6</v>
      </c>
      <c r="F49" t="str">
        <f>IFERROR(VLOOKUP(B50,Samples!$A:$A,1,0),"Not Found")</f>
        <v>Not Found</v>
      </c>
      <c r="G49">
        <f>COUNTIF(B49:B56,B49)</f>
        <v>1</v>
      </c>
    </row>
    <row r="50" spans="1:7" ht="46.2">
      <c r="A50" s="23">
        <v>45</v>
      </c>
      <c r="B50" s="24" t="s">
        <v>150</v>
      </c>
      <c r="C50" s="24" t="s">
        <v>68</v>
      </c>
      <c r="D50" s="24" t="s">
        <v>6</v>
      </c>
      <c r="F50" t="str">
        <f>IFERROR(VLOOKUP(B51,Samples!$A:$A,1,0),"Not Found")</f>
        <v>Not Found</v>
      </c>
      <c r="G50">
        <f>COUNTIF(B50:B56,B50)</f>
        <v>1</v>
      </c>
    </row>
    <row r="51" spans="1:7" ht="46.2">
      <c r="A51" s="23">
        <v>46</v>
      </c>
      <c r="B51" s="24" t="s">
        <v>151</v>
      </c>
      <c r="C51" s="24" t="s">
        <v>68</v>
      </c>
      <c r="D51" s="24" t="s">
        <v>6</v>
      </c>
      <c r="F51" t="str">
        <f>IFERROR(VLOOKUP(B52,Samples!$A:$A,1,0),"Not Found")</f>
        <v>Not Found</v>
      </c>
      <c r="G51">
        <f>COUNTIF(B51:B56,B51)</f>
        <v>1</v>
      </c>
    </row>
    <row r="52" spans="1:7" ht="46.2">
      <c r="A52" s="23">
        <v>47</v>
      </c>
      <c r="B52" s="24" t="s">
        <v>152</v>
      </c>
      <c r="C52" s="24" t="s">
        <v>68</v>
      </c>
      <c r="D52" s="24" t="s">
        <v>6</v>
      </c>
      <c r="F52" t="str">
        <f>IFERROR(VLOOKUP(B53,Samples!$A:$A,1,0),"Not Found")</f>
        <v>Not Found</v>
      </c>
      <c r="G52">
        <f>COUNTIF(B52:B56,B52)</f>
        <v>1</v>
      </c>
    </row>
    <row r="53" spans="1:7" ht="46.2">
      <c r="A53" s="23">
        <v>48</v>
      </c>
      <c r="B53" s="24" t="s">
        <v>153</v>
      </c>
      <c r="C53" s="24" t="s">
        <v>68</v>
      </c>
      <c r="D53" s="24" t="s">
        <v>6</v>
      </c>
      <c r="F53" t="str">
        <f>IFERROR(VLOOKUP(B54,Samples!$A:$A,1,0),"Not Found")</f>
        <v>Not Found</v>
      </c>
      <c r="G53">
        <f>COUNTIF(B53:B56,B53)</f>
        <v>1</v>
      </c>
    </row>
    <row r="54" spans="1:7" ht="46.2">
      <c r="A54" s="23">
        <v>49</v>
      </c>
      <c r="B54" s="24" t="s">
        <v>154</v>
      </c>
      <c r="C54" s="24" t="s">
        <v>68</v>
      </c>
      <c r="D54" s="24" t="s">
        <v>6</v>
      </c>
      <c r="F54" t="str">
        <f>IFERROR(VLOOKUP(B55,Samples!$A:$A,1,0),"Not Found")</f>
        <v>Not Found</v>
      </c>
      <c r="G54">
        <f>COUNTIF(B54:B56,B54)</f>
        <v>1</v>
      </c>
    </row>
    <row r="55" spans="1:7" ht="46.2">
      <c r="A55" s="23">
        <v>50</v>
      </c>
      <c r="B55" s="24" t="s">
        <v>155</v>
      </c>
      <c r="C55" s="24" t="s">
        <v>68</v>
      </c>
      <c r="D55" s="24" t="s">
        <v>6</v>
      </c>
      <c r="F55" t="str">
        <f>IFERROR(VLOOKUP(B56,Samples!$A:$A,1,0),"Not Found")</f>
        <v>Not Found</v>
      </c>
      <c r="G55">
        <f>COUNTIF(B55:B56,B55)</f>
        <v>1</v>
      </c>
    </row>
    <row r="56" spans="1:7" ht="46.2">
      <c r="A56" s="23">
        <v>51</v>
      </c>
      <c r="B56" s="24" t="s">
        <v>156</v>
      </c>
      <c r="C56" s="24" t="s">
        <v>68</v>
      </c>
      <c r="D56" s="24" t="s">
        <v>6</v>
      </c>
      <c r="F56" t="str">
        <f>IFERROR(VLOOKUP(#REF!,Samples!$A:$A,1,0),"Not Found")</f>
        <v>Not Found</v>
      </c>
      <c r="G56">
        <f>COUNTIF(B56:B56,B56)</f>
        <v>1</v>
      </c>
    </row>
    <row r="57" spans="1:7" ht="46.2">
      <c r="A57" s="23">
        <v>52</v>
      </c>
      <c r="B57" s="24" t="s">
        <v>157</v>
      </c>
      <c r="C57" s="24" t="s">
        <v>68</v>
      </c>
      <c r="D57" s="24" t="s">
        <v>6</v>
      </c>
    </row>
    <row r="58" spans="1:7" ht="46.2">
      <c r="A58" s="23">
        <v>53</v>
      </c>
      <c r="B58" s="24" t="s">
        <v>158</v>
      </c>
      <c r="C58" s="24" t="s">
        <v>68</v>
      </c>
      <c r="D58" s="24" t="s">
        <v>6</v>
      </c>
    </row>
    <row r="59" spans="1:7" ht="46.2">
      <c r="A59" s="23">
        <v>54</v>
      </c>
      <c r="B59" s="24" t="s">
        <v>159</v>
      </c>
      <c r="C59" s="24" t="s">
        <v>68</v>
      </c>
      <c r="D59" s="24" t="s">
        <v>6</v>
      </c>
    </row>
    <row r="60" spans="1:7" ht="46.2">
      <c r="A60" s="23">
        <v>55</v>
      </c>
      <c r="B60" s="24" t="s">
        <v>160</v>
      </c>
      <c r="C60" s="24" t="s">
        <v>68</v>
      </c>
      <c r="D60" s="24" t="s">
        <v>6</v>
      </c>
    </row>
    <row r="61" spans="1:7" ht="46.2">
      <c r="A61" s="23">
        <v>56</v>
      </c>
      <c r="B61" s="24" t="s">
        <v>161</v>
      </c>
      <c r="C61" s="24" t="s">
        <v>68</v>
      </c>
      <c r="D61" s="24" t="s">
        <v>6</v>
      </c>
    </row>
    <row r="62" spans="1:7" ht="46.2">
      <c r="A62" s="23">
        <v>57</v>
      </c>
      <c r="B62" s="24" t="s">
        <v>162</v>
      </c>
      <c r="C62" s="24" t="s">
        <v>68</v>
      </c>
      <c r="D62" s="24" t="s">
        <v>6</v>
      </c>
    </row>
    <row r="63" spans="1:7" ht="46.2">
      <c r="A63" s="23">
        <v>58</v>
      </c>
      <c r="B63" s="24" t="s">
        <v>163</v>
      </c>
      <c r="C63" s="24" t="s">
        <v>68</v>
      </c>
      <c r="D63" s="24" t="s">
        <v>6</v>
      </c>
    </row>
    <row r="64" spans="1:7" ht="46.2">
      <c r="A64" s="23">
        <v>59</v>
      </c>
      <c r="B64" s="24" t="s">
        <v>164</v>
      </c>
      <c r="C64" s="24" t="s">
        <v>68</v>
      </c>
      <c r="D64" s="24" t="s">
        <v>6</v>
      </c>
    </row>
    <row r="65" spans="1:4" ht="46.2">
      <c r="A65" s="23">
        <v>60</v>
      </c>
      <c r="B65" s="24" t="s">
        <v>165</v>
      </c>
      <c r="C65" s="24" t="s">
        <v>68</v>
      </c>
      <c r="D65" s="24" t="s">
        <v>6</v>
      </c>
    </row>
    <row r="66" spans="1:4" ht="46.2">
      <c r="A66" s="23">
        <v>61</v>
      </c>
      <c r="B66" s="24" t="s">
        <v>166</v>
      </c>
      <c r="C66" s="24" t="s">
        <v>68</v>
      </c>
      <c r="D66" s="24" t="s">
        <v>6</v>
      </c>
    </row>
    <row r="67" spans="1:4" ht="46.2">
      <c r="A67" s="23">
        <v>62</v>
      </c>
      <c r="B67" s="24" t="s">
        <v>167</v>
      </c>
      <c r="C67" s="24" t="s">
        <v>68</v>
      </c>
      <c r="D67" s="24" t="s">
        <v>6</v>
      </c>
    </row>
    <row r="68" spans="1:4" ht="46.2">
      <c r="A68" s="23">
        <v>63</v>
      </c>
      <c r="B68" s="24" t="s">
        <v>168</v>
      </c>
      <c r="C68" s="24" t="s">
        <v>68</v>
      </c>
      <c r="D68" s="24" t="s">
        <v>6</v>
      </c>
    </row>
    <row r="69" spans="1:4" ht="46.2">
      <c r="A69" s="23">
        <v>64</v>
      </c>
      <c r="B69" s="24" t="s">
        <v>169</v>
      </c>
      <c r="C69" s="24" t="s">
        <v>68</v>
      </c>
      <c r="D69" s="24" t="s">
        <v>6</v>
      </c>
    </row>
    <row r="70" spans="1:4" ht="46.2">
      <c r="A70" s="23">
        <v>65</v>
      </c>
      <c r="B70" s="24" t="s">
        <v>170</v>
      </c>
      <c r="C70" s="24" t="s">
        <v>68</v>
      </c>
      <c r="D70" s="24" t="s">
        <v>6</v>
      </c>
    </row>
    <row r="71" spans="1:4" ht="46.2">
      <c r="A71" s="23">
        <v>66</v>
      </c>
      <c r="B71" s="24" t="s">
        <v>171</v>
      </c>
      <c r="C71" s="24" t="s">
        <v>68</v>
      </c>
      <c r="D71" s="24" t="s">
        <v>6</v>
      </c>
    </row>
    <row r="72" spans="1:4" ht="46.2">
      <c r="A72" s="23">
        <v>67</v>
      </c>
      <c r="B72" s="24" t="s">
        <v>172</v>
      </c>
      <c r="C72" s="24" t="s">
        <v>68</v>
      </c>
      <c r="D72" s="24" t="s">
        <v>6</v>
      </c>
    </row>
    <row r="73" spans="1:4" ht="46.2">
      <c r="A73" s="23">
        <v>68</v>
      </c>
      <c r="B73" s="24" t="s">
        <v>173</v>
      </c>
      <c r="C73" s="24" t="s">
        <v>68</v>
      </c>
      <c r="D73" s="24" t="s">
        <v>6</v>
      </c>
    </row>
    <row r="74" spans="1:4" ht="46.2">
      <c r="A74" s="23">
        <v>69</v>
      </c>
      <c r="B74" s="24" t="s">
        <v>174</v>
      </c>
      <c r="C74" s="24" t="s">
        <v>68</v>
      </c>
      <c r="D74" s="24" t="s">
        <v>6</v>
      </c>
    </row>
    <row r="75" spans="1:4" ht="46.2">
      <c r="A75" s="23">
        <v>70</v>
      </c>
      <c r="B75" s="24" t="s">
        <v>175</v>
      </c>
      <c r="C75" s="24" t="s">
        <v>68</v>
      </c>
      <c r="D75" s="24" t="s">
        <v>6</v>
      </c>
    </row>
    <row r="76" spans="1:4" ht="46.2">
      <c r="A76" s="23">
        <v>71</v>
      </c>
      <c r="B76" s="24" t="s">
        <v>176</v>
      </c>
      <c r="C76" s="24" t="s">
        <v>68</v>
      </c>
      <c r="D76" s="24" t="s">
        <v>6</v>
      </c>
    </row>
    <row r="77" spans="1:4" ht="46.2">
      <c r="A77" s="23">
        <v>72</v>
      </c>
      <c r="B77" s="24" t="s">
        <v>177</v>
      </c>
      <c r="C77" s="24" t="s">
        <v>68</v>
      </c>
      <c r="D77" s="24" t="s">
        <v>6</v>
      </c>
    </row>
    <row r="78" spans="1:4" ht="46.2">
      <c r="A78" s="23">
        <v>73</v>
      </c>
      <c r="B78" s="24" t="s">
        <v>178</v>
      </c>
      <c r="C78" s="24" t="s">
        <v>68</v>
      </c>
      <c r="D78" s="24" t="s">
        <v>6</v>
      </c>
    </row>
    <row r="79" spans="1:4" ht="46.2">
      <c r="A79" s="23">
        <v>74</v>
      </c>
      <c r="B79" s="24" t="s">
        <v>179</v>
      </c>
      <c r="C79" s="24" t="s">
        <v>68</v>
      </c>
      <c r="D79" s="24" t="s">
        <v>6</v>
      </c>
    </row>
    <row r="80" spans="1:4" ht="46.2">
      <c r="A80" s="23">
        <v>75</v>
      </c>
      <c r="B80" s="24" t="s">
        <v>180</v>
      </c>
      <c r="C80" s="24" t="s">
        <v>68</v>
      </c>
      <c r="D80" s="24" t="s">
        <v>6</v>
      </c>
    </row>
    <row r="81" spans="1:4" ht="46.2">
      <c r="A81" s="23">
        <v>76</v>
      </c>
      <c r="B81" s="24" t="s">
        <v>181</v>
      </c>
      <c r="C81" s="24" t="s">
        <v>68</v>
      </c>
      <c r="D81" s="24" t="s">
        <v>6</v>
      </c>
    </row>
    <row r="82" spans="1:4" ht="46.2">
      <c r="A82" s="23">
        <v>77</v>
      </c>
      <c r="B82" s="24" t="s">
        <v>182</v>
      </c>
      <c r="C82" s="24" t="s">
        <v>68</v>
      </c>
      <c r="D82" s="24" t="s">
        <v>6</v>
      </c>
    </row>
    <row r="83" spans="1:4" ht="46.2">
      <c r="A83" s="23">
        <v>78</v>
      </c>
      <c r="B83" s="24" t="s">
        <v>184</v>
      </c>
      <c r="C83" s="24" t="s">
        <v>68</v>
      </c>
      <c r="D83" s="24" t="s">
        <v>6</v>
      </c>
    </row>
    <row r="84" spans="1:4" ht="46.2">
      <c r="A84" s="23">
        <v>79</v>
      </c>
      <c r="B84" s="24" t="s">
        <v>185</v>
      </c>
      <c r="C84" s="24" t="s">
        <v>68</v>
      </c>
      <c r="D84" s="24" t="s">
        <v>6</v>
      </c>
    </row>
    <row r="85" spans="1:4" ht="46.2">
      <c r="A85" s="23">
        <v>80</v>
      </c>
      <c r="B85" s="24" t="s">
        <v>186</v>
      </c>
      <c r="C85" s="24" t="s">
        <v>68</v>
      </c>
      <c r="D85" s="24" t="s">
        <v>6</v>
      </c>
    </row>
  </sheetData>
  <autoFilter ref="A1:D56" xr:uid="{00000000-0001-0000-0100-000000000000}">
    <filterColumn colId="0" showButton="0"/>
    <filterColumn colId="1" showButton="0"/>
    <filterColumn colId="2" showButton="0"/>
  </autoFilter>
  <mergeCells count="4">
    <mergeCell ref="A1:D1"/>
    <mergeCell ref="A2:D2"/>
    <mergeCell ref="A3:D3"/>
    <mergeCell ref="A4:D4"/>
  </mergeCells>
  <conditionalFormatting sqref="B1:B5 B56:B1048576">
    <cfRule type="duplicateValues" dxfId="61" priority="200"/>
    <cfRule type="duplicateValues" dxfId="60" priority="203"/>
    <cfRule type="duplicateValues" dxfId="59" priority="206"/>
  </conditionalFormatting>
  <conditionalFormatting sqref="B1:B1048576">
    <cfRule type="duplicateValues" dxfId="58" priority="2"/>
    <cfRule type="duplicateValues" dxfId="57" priority="3"/>
  </conditionalFormatting>
  <conditionalFormatting sqref="B6:B47">
    <cfRule type="duplicateValues" dxfId="56" priority="10"/>
  </conditionalFormatting>
  <conditionalFormatting sqref="B6:B85">
    <cfRule type="duplicateValues" dxfId="55" priority="1"/>
    <cfRule type="duplicateValues" dxfId="54" priority="714"/>
    <cfRule type="duplicateValues" dxfId="53" priority="715"/>
  </conditionalFormatting>
  <conditionalFormatting sqref="B48:B85">
    <cfRule type="duplicateValues" dxfId="52" priority="716"/>
    <cfRule type="duplicateValues" dxfId="51" priority="717"/>
    <cfRule type="duplicateValues" dxfId="50" priority="718"/>
    <cfRule type="duplicateValues" dxfId="49" priority="719"/>
  </conditionalFormatting>
  <pageMargins left="1.45" right="1.4" top="0.59" bottom="0.43" header="0.3" footer="0.3"/>
  <pageSetup scale="2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view="pageBreakPreview" topLeftCell="A2" zoomScale="85" zoomScaleNormal="100" zoomScaleSheetLayoutView="85" workbookViewId="0">
      <selection activeCell="C7" sqref="C7"/>
    </sheetView>
  </sheetViews>
  <sheetFormatPr defaultRowHeight="14.4"/>
  <cols>
    <col min="1" max="1" width="17.33203125" customWidth="1"/>
    <col min="2" max="2" width="39.77734375" style="1" customWidth="1"/>
    <col min="3" max="3" width="39" customWidth="1"/>
    <col min="4" max="4" width="47.21875" customWidth="1"/>
  </cols>
  <sheetData>
    <row r="1" spans="1:4" ht="43.05" customHeight="1">
      <c r="A1" s="77" t="s">
        <v>4</v>
      </c>
      <c r="B1" s="78"/>
      <c r="C1" s="78"/>
      <c r="D1" s="78"/>
    </row>
    <row r="2" spans="1:4" ht="43.05" customHeight="1">
      <c r="A2" s="79" t="s">
        <v>26</v>
      </c>
      <c r="B2" s="80"/>
      <c r="C2" s="80"/>
      <c r="D2" s="80"/>
    </row>
    <row r="3" spans="1:4" ht="43.05" customHeight="1">
      <c r="A3" s="81" t="s">
        <v>188</v>
      </c>
      <c r="B3" s="82"/>
      <c r="C3" s="82"/>
      <c r="D3" s="82"/>
    </row>
    <row r="4" spans="1:4" ht="43.05" customHeight="1">
      <c r="A4" s="83" t="s">
        <v>91</v>
      </c>
      <c r="B4" s="84"/>
      <c r="C4" s="84"/>
      <c r="D4" s="84"/>
    </row>
    <row r="5" spans="1:4" ht="43.05" customHeight="1">
      <c r="A5" s="8" t="s">
        <v>2</v>
      </c>
      <c r="B5" s="9" t="s">
        <v>0</v>
      </c>
      <c r="C5" s="10" t="s">
        <v>7</v>
      </c>
      <c r="D5" s="9" t="s">
        <v>35</v>
      </c>
    </row>
    <row r="6" spans="1:4" ht="45.6" customHeight="1">
      <c r="A6" s="28">
        <v>1</v>
      </c>
      <c r="B6" s="28" t="s">
        <v>112</v>
      </c>
      <c r="C6" s="28" t="s">
        <v>68</v>
      </c>
      <c r="D6" s="45" t="s">
        <v>69</v>
      </c>
    </row>
    <row r="7" spans="1:4" ht="45.6" customHeight="1">
      <c r="A7" s="28">
        <v>2</v>
      </c>
      <c r="B7" s="28" t="s">
        <v>116</v>
      </c>
      <c r="C7" s="28" t="s">
        <v>68</v>
      </c>
      <c r="D7" s="45" t="s">
        <v>69</v>
      </c>
    </row>
    <row r="8" spans="1:4" ht="45.6" customHeight="1">
      <c r="A8" s="28">
        <v>3</v>
      </c>
      <c r="B8" s="28" t="s">
        <v>115</v>
      </c>
      <c r="C8" s="28" t="s">
        <v>68</v>
      </c>
      <c r="D8" s="45" t="s">
        <v>69</v>
      </c>
    </row>
    <row r="9" spans="1:4" ht="45.6" customHeight="1">
      <c r="A9" s="28">
        <v>4</v>
      </c>
      <c r="B9" s="28" t="s">
        <v>108</v>
      </c>
      <c r="C9" s="28" t="s">
        <v>68</v>
      </c>
      <c r="D9" s="45" t="s">
        <v>69</v>
      </c>
    </row>
    <row r="10" spans="1:4" ht="45.6" customHeight="1">
      <c r="A10" s="28">
        <v>5</v>
      </c>
      <c r="B10" s="28" t="s">
        <v>111</v>
      </c>
      <c r="C10" s="28" t="s">
        <v>68</v>
      </c>
      <c r="D10" s="45" t="s">
        <v>69</v>
      </c>
    </row>
    <row r="11" spans="1:4" ht="45.6" customHeight="1">
      <c r="A11" s="28">
        <v>6</v>
      </c>
      <c r="B11" s="28" t="s">
        <v>120</v>
      </c>
      <c r="C11" s="28" t="s">
        <v>68</v>
      </c>
      <c r="D11" s="45" t="s">
        <v>69</v>
      </c>
    </row>
    <row r="12" spans="1:4" ht="45.6" customHeight="1">
      <c r="A12" s="28">
        <v>7</v>
      </c>
      <c r="B12" s="28" t="s">
        <v>109</v>
      </c>
      <c r="C12" s="28" t="s">
        <v>68</v>
      </c>
      <c r="D12" s="45" t="s">
        <v>69</v>
      </c>
    </row>
    <row r="13" spans="1:4" ht="45.6" customHeight="1">
      <c r="A13" s="28">
        <v>8</v>
      </c>
      <c r="B13" s="28" t="s">
        <v>110</v>
      </c>
      <c r="C13" s="28" t="s">
        <v>68</v>
      </c>
      <c r="D13" s="45" t="s">
        <v>69</v>
      </c>
    </row>
    <row r="14" spans="1:4" ht="45.6" customHeight="1">
      <c r="A14" s="28">
        <v>9</v>
      </c>
      <c r="B14" s="28" t="s">
        <v>113</v>
      </c>
      <c r="C14" s="28" t="s">
        <v>68</v>
      </c>
      <c r="D14" s="45" t="s">
        <v>69</v>
      </c>
    </row>
    <row r="15" spans="1:4" ht="45.6" customHeight="1">
      <c r="A15" s="28">
        <v>10</v>
      </c>
      <c r="B15" s="28" t="s">
        <v>114</v>
      </c>
      <c r="C15" s="28" t="s">
        <v>68</v>
      </c>
      <c r="D15" s="45" t="s">
        <v>69</v>
      </c>
    </row>
    <row r="16" spans="1:4" ht="45.6" customHeight="1">
      <c r="A16" s="28">
        <v>11</v>
      </c>
      <c r="B16" s="28" t="s">
        <v>119</v>
      </c>
      <c r="C16" s="28" t="s">
        <v>68</v>
      </c>
      <c r="D16" s="45" t="s">
        <v>69</v>
      </c>
    </row>
    <row r="17" spans="1:4" ht="45.6" customHeight="1">
      <c r="A17" s="28">
        <v>12</v>
      </c>
      <c r="B17" s="28" t="s">
        <v>183</v>
      </c>
      <c r="C17" s="28" t="s">
        <v>68</v>
      </c>
      <c r="D17" s="45" t="s">
        <v>69</v>
      </c>
    </row>
    <row r="18" spans="1:4" ht="45.6" customHeight="1">
      <c r="A18" s="28">
        <v>13</v>
      </c>
      <c r="B18" s="28" t="s">
        <v>118</v>
      </c>
      <c r="C18" s="28" t="s">
        <v>68</v>
      </c>
      <c r="D18" s="45" t="s">
        <v>69</v>
      </c>
    </row>
    <row r="19" spans="1:4" ht="45.6" customHeight="1">
      <c r="A19" s="28">
        <v>14</v>
      </c>
      <c r="B19" s="28" t="s">
        <v>117</v>
      </c>
      <c r="C19" s="28" t="s">
        <v>68</v>
      </c>
      <c r="D19" s="45" t="s">
        <v>69</v>
      </c>
    </row>
  </sheetData>
  <autoFilter ref="A5:D5" xr:uid="{00000000-0001-0000-0000-000000000000}">
    <sortState xmlns:xlrd2="http://schemas.microsoft.com/office/spreadsheetml/2017/richdata2" ref="A6:D19">
      <sortCondition ref="B5"/>
    </sortState>
  </autoFilter>
  <mergeCells count="4">
    <mergeCell ref="A1:D1"/>
    <mergeCell ref="A2:D2"/>
    <mergeCell ref="A3:D3"/>
    <mergeCell ref="A4:D4"/>
  </mergeCells>
  <conditionalFormatting sqref="B1:B4">
    <cfRule type="duplicateValues" dxfId="48" priority="755"/>
  </conditionalFormatting>
  <conditionalFormatting sqref="B1:B1048576">
    <cfRule type="duplicateValues" dxfId="47" priority="14"/>
  </conditionalFormatting>
  <conditionalFormatting sqref="B5">
    <cfRule type="duplicateValues" dxfId="46" priority="38"/>
    <cfRule type="duplicateValues" dxfId="45" priority="39"/>
    <cfRule type="duplicateValues" dxfId="44" priority="40"/>
  </conditionalFormatting>
  <conditionalFormatting sqref="B6:B19">
    <cfRule type="duplicateValues" dxfId="43" priority="706"/>
  </conditionalFormatting>
  <conditionalFormatting sqref="B12:B13">
    <cfRule type="duplicateValues" dxfId="42" priority="1"/>
    <cfRule type="duplicateValues" dxfId="41" priority="2"/>
    <cfRule type="duplicateValues" dxfId="40" priority="3"/>
    <cfRule type="duplicateValues" dxfId="39" priority="4"/>
    <cfRule type="duplicateValues" dxfId="38" priority="5"/>
    <cfRule type="duplicateValues" dxfId="37" priority="6"/>
    <cfRule type="duplicateValues" dxfId="36" priority="8"/>
    <cfRule type="duplicateValues" dxfId="35" priority="9"/>
    <cfRule type="duplicateValues" dxfId="34" priority="10"/>
    <cfRule type="duplicateValues" dxfId="33" priority="11"/>
    <cfRule type="duplicateValues" dxfId="32" priority="12"/>
    <cfRule type="duplicateValues" dxfId="31" priority="13"/>
  </conditionalFormatting>
  <conditionalFormatting sqref="B13">
    <cfRule type="duplicateValues" dxfId="30" priority="7"/>
  </conditionalFormatting>
  <pageMargins left="0.75" right="0.37" top="0.56000000000000005" bottom="0.28999999999999998" header="0.31" footer="0.3"/>
  <pageSetup scale="5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view="pageBreakPreview" topLeftCell="A6" zoomScale="115" zoomScaleNormal="100" zoomScaleSheetLayoutView="115" workbookViewId="0">
      <selection activeCell="C6" sqref="C6:F19"/>
    </sheetView>
  </sheetViews>
  <sheetFormatPr defaultRowHeight="14.4"/>
  <cols>
    <col min="2" max="2" width="32.6640625" style="1" bestFit="1" customWidth="1"/>
    <col min="3" max="3" width="16.33203125" style="1" customWidth="1"/>
    <col min="4" max="4" width="19.21875" style="1" customWidth="1"/>
    <col min="5" max="5" width="20.77734375" customWidth="1"/>
    <col min="6" max="6" width="19" bestFit="1" customWidth="1"/>
    <col min="7" max="7" width="16.5546875" customWidth="1"/>
  </cols>
  <sheetData>
    <row r="1" spans="1:7" ht="23.4">
      <c r="A1" s="85" t="s">
        <v>4</v>
      </c>
      <c r="B1" s="86"/>
      <c r="C1" s="86"/>
      <c r="D1" s="86"/>
      <c r="E1" s="86"/>
      <c r="F1" s="86"/>
      <c r="G1" s="87"/>
    </row>
    <row r="2" spans="1:7" ht="23.4">
      <c r="A2" s="88" t="s">
        <v>87</v>
      </c>
      <c r="B2" s="89"/>
      <c r="C2" s="89"/>
      <c r="D2" s="89"/>
      <c r="E2" s="89"/>
      <c r="F2" s="89"/>
      <c r="G2" s="90"/>
    </row>
    <row r="3" spans="1:7" ht="23.4">
      <c r="A3" s="94" t="s">
        <v>189</v>
      </c>
      <c r="B3" s="95"/>
      <c r="C3" s="95"/>
      <c r="D3" s="95"/>
      <c r="E3" s="95"/>
      <c r="F3" s="95"/>
      <c r="G3" s="96"/>
    </row>
    <row r="4" spans="1:7" ht="23.4">
      <c r="A4" s="91" t="s">
        <v>91</v>
      </c>
      <c r="B4" s="92"/>
      <c r="C4" s="92"/>
      <c r="D4" s="92"/>
      <c r="E4" s="92"/>
      <c r="F4" s="92"/>
      <c r="G4" s="93"/>
    </row>
    <row r="5" spans="1:7" s="1" customFormat="1" ht="57.6">
      <c r="A5" s="6" t="s">
        <v>2</v>
      </c>
      <c r="B5" s="3" t="s">
        <v>0</v>
      </c>
      <c r="C5" s="2" t="s">
        <v>64</v>
      </c>
      <c r="D5" s="3" t="s">
        <v>192</v>
      </c>
      <c r="E5" s="3" t="s">
        <v>65</v>
      </c>
      <c r="F5" s="3" t="s">
        <v>66</v>
      </c>
      <c r="G5" s="7" t="s">
        <v>1</v>
      </c>
    </row>
    <row r="6" spans="1:7" ht="21">
      <c r="A6" s="12">
        <v>1</v>
      </c>
      <c r="B6" s="12" t="s">
        <v>112</v>
      </c>
      <c r="C6" s="49">
        <v>3.11</v>
      </c>
      <c r="D6" s="47">
        <v>1.1000000000000001</v>
      </c>
      <c r="E6" s="48">
        <v>4.03</v>
      </c>
      <c r="F6" s="44">
        <v>2.04</v>
      </c>
      <c r="G6" s="12"/>
    </row>
    <row r="7" spans="1:7" ht="21">
      <c r="A7" s="12">
        <v>2</v>
      </c>
      <c r="B7" s="12" t="s">
        <v>116</v>
      </c>
      <c r="C7" s="49">
        <v>4.78</v>
      </c>
      <c r="D7" s="47">
        <v>1.2</v>
      </c>
      <c r="E7" s="48">
        <v>4.99</v>
      </c>
      <c r="F7" s="44">
        <v>3.37</v>
      </c>
      <c r="G7" s="12"/>
    </row>
    <row r="8" spans="1:7" ht="21">
      <c r="A8" s="12">
        <v>3</v>
      </c>
      <c r="B8" s="12" t="s">
        <v>115</v>
      </c>
      <c r="C8" s="49">
        <v>4.21</v>
      </c>
      <c r="D8" s="47">
        <v>1.1000000000000001</v>
      </c>
      <c r="E8" s="48">
        <v>4.8099999999999996</v>
      </c>
      <c r="F8" s="44">
        <v>2.86</v>
      </c>
      <c r="G8" s="12"/>
    </row>
    <row r="9" spans="1:7" ht="21">
      <c r="A9" s="12">
        <v>4</v>
      </c>
      <c r="B9" s="12" t="s">
        <v>108</v>
      </c>
      <c r="C9" s="49">
        <v>4.09</v>
      </c>
      <c r="D9" s="47">
        <v>1.1000000000000001</v>
      </c>
      <c r="E9" s="48">
        <v>4.72</v>
      </c>
      <c r="F9" s="44">
        <v>3.8</v>
      </c>
      <c r="G9" s="12"/>
    </row>
    <row r="10" spans="1:7" ht="21">
      <c r="A10" s="12">
        <v>5</v>
      </c>
      <c r="B10" s="12" t="s">
        <v>111</v>
      </c>
      <c r="C10" s="49">
        <v>4.5</v>
      </c>
      <c r="D10" s="47">
        <v>1.1000000000000001</v>
      </c>
      <c r="E10" s="48">
        <v>3.89</v>
      </c>
      <c r="F10" s="44">
        <v>3.07</v>
      </c>
      <c r="G10" s="12"/>
    </row>
    <row r="11" spans="1:7" ht="21">
      <c r="A11" s="12">
        <v>6</v>
      </c>
      <c r="B11" s="12" t="s">
        <v>120</v>
      </c>
      <c r="C11" s="49">
        <v>3.27</v>
      </c>
      <c r="D11" s="47">
        <v>1.2</v>
      </c>
      <c r="E11" s="48">
        <v>3.85</v>
      </c>
      <c r="F11" s="44">
        <v>3.5</v>
      </c>
      <c r="G11" s="12"/>
    </row>
    <row r="12" spans="1:7" ht="21">
      <c r="A12" s="12">
        <v>7</v>
      </c>
      <c r="B12" s="12" t="s">
        <v>109</v>
      </c>
      <c r="C12" s="49">
        <v>3.26</v>
      </c>
      <c r="D12" s="47">
        <v>1</v>
      </c>
      <c r="E12" s="48">
        <v>3.71</v>
      </c>
      <c r="F12" s="44">
        <v>3.55</v>
      </c>
      <c r="G12" s="12"/>
    </row>
    <row r="13" spans="1:7" ht="21">
      <c r="A13" s="12">
        <v>8</v>
      </c>
      <c r="B13" s="12" t="s">
        <v>110</v>
      </c>
      <c r="C13" s="49">
        <v>4.05</v>
      </c>
      <c r="D13" s="47">
        <v>1.1000000000000001</v>
      </c>
      <c r="E13" s="48">
        <v>4.51</v>
      </c>
      <c r="F13" s="44">
        <v>2.95</v>
      </c>
      <c r="G13" s="12"/>
    </row>
    <row r="14" spans="1:7" ht="21">
      <c r="A14" s="12">
        <v>9</v>
      </c>
      <c r="B14" s="12" t="s">
        <v>113</v>
      </c>
      <c r="C14" s="49">
        <v>4.2</v>
      </c>
      <c r="D14" s="47">
        <v>1.6</v>
      </c>
      <c r="E14" s="48">
        <v>4.82</v>
      </c>
      <c r="F14" s="44">
        <v>2.61</v>
      </c>
      <c r="G14" s="12"/>
    </row>
    <row r="15" spans="1:7" ht="21">
      <c r="A15" s="12">
        <v>10</v>
      </c>
      <c r="B15" s="12" t="s">
        <v>114</v>
      </c>
      <c r="C15" s="49">
        <v>4.2300000000000004</v>
      </c>
      <c r="D15" s="47">
        <v>1.1000000000000001</v>
      </c>
      <c r="E15" s="48">
        <v>3.21</v>
      </c>
      <c r="F15" s="44">
        <v>2.9</v>
      </c>
      <c r="G15" s="12"/>
    </row>
    <row r="16" spans="1:7" ht="21">
      <c r="A16" s="12">
        <v>11</v>
      </c>
      <c r="B16" s="12" t="s">
        <v>119</v>
      </c>
      <c r="C16" s="49">
        <v>5.21</v>
      </c>
      <c r="D16" s="47">
        <v>1.2</v>
      </c>
      <c r="E16" s="48">
        <v>3.51</v>
      </c>
      <c r="F16" s="44">
        <v>2.34</v>
      </c>
      <c r="G16" s="12"/>
    </row>
    <row r="17" spans="1:7" ht="21">
      <c r="A17" s="12">
        <v>12</v>
      </c>
      <c r="B17" s="12" t="s">
        <v>183</v>
      </c>
      <c r="C17" s="49">
        <v>5.27</v>
      </c>
      <c r="D17" s="47">
        <v>1.3</v>
      </c>
      <c r="E17" s="48">
        <v>3.66</v>
      </c>
      <c r="F17" s="44">
        <v>4.3</v>
      </c>
      <c r="G17" s="12"/>
    </row>
    <row r="18" spans="1:7" ht="21">
      <c r="A18" s="12">
        <v>13</v>
      </c>
      <c r="B18" s="12" t="s">
        <v>118</v>
      </c>
      <c r="C18" s="49">
        <v>4.3899999999999997</v>
      </c>
      <c r="D18" s="47">
        <v>1.6</v>
      </c>
      <c r="E18" s="48">
        <v>3.78</v>
      </c>
      <c r="F18" s="44">
        <v>4.3</v>
      </c>
      <c r="G18" s="12"/>
    </row>
    <row r="19" spans="1:7" ht="21">
      <c r="A19" s="12">
        <v>14</v>
      </c>
      <c r="B19" s="12" t="s">
        <v>117</v>
      </c>
      <c r="C19" s="49">
        <v>5.1100000000000003</v>
      </c>
      <c r="D19" s="47">
        <v>1.2</v>
      </c>
      <c r="E19" s="48">
        <v>3.52</v>
      </c>
      <c r="F19" s="44">
        <v>2.94</v>
      </c>
      <c r="G19" s="12"/>
    </row>
  </sheetData>
  <autoFilter ref="A5:G5" xr:uid="{00000000-0001-0000-0300-000000000000}">
    <sortState xmlns:xlrd2="http://schemas.microsoft.com/office/spreadsheetml/2017/richdata2" ref="A6:G19">
      <sortCondition ref="B5"/>
    </sortState>
  </autoFilter>
  <mergeCells count="4">
    <mergeCell ref="A1:G1"/>
    <mergeCell ref="A2:G2"/>
    <mergeCell ref="A4:G4"/>
    <mergeCell ref="A3:G3"/>
  </mergeCells>
  <conditionalFormatting sqref="B1:B5 G6:G19">
    <cfRule type="duplicateValues" dxfId="29" priority="742"/>
  </conditionalFormatting>
  <conditionalFormatting sqref="B1:B5">
    <cfRule type="duplicateValues" dxfId="28" priority="189"/>
    <cfRule type="duplicateValues" dxfId="27" priority="190"/>
    <cfRule type="duplicateValues" dxfId="26" priority="191"/>
    <cfRule type="duplicateValues" dxfId="25" priority="192"/>
  </conditionalFormatting>
  <conditionalFormatting sqref="B1:B1048576">
    <cfRule type="duplicateValues" dxfId="24" priority="1"/>
  </conditionalFormatting>
  <conditionalFormatting sqref="B6:B9 B11:B19">
    <cfRule type="duplicateValues" dxfId="23" priority="745"/>
  </conditionalFormatting>
  <conditionalFormatting sqref="B10">
    <cfRule type="duplicateValues" dxfId="22" priority="2"/>
    <cfRule type="duplicateValues" dxfId="21" priority="3"/>
    <cfRule type="duplicateValues" dxfId="20" priority="4"/>
    <cfRule type="duplicateValues" dxfId="19" priority="5"/>
    <cfRule type="duplicateValues" dxfId="18" priority="6"/>
    <cfRule type="duplicateValues" dxfId="17" priority="7"/>
    <cfRule type="duplicateValues" dxfId="16" priority="8"/>
    <cfRule type="duplicateValues" dxfId="15" priority="9"/>
    <cfRule type="duplicateValues" dxfId="14" priority="10"/>
    <cfRule type="duplicateValues" dxfId="13" priority="11"/>
    <cfRule type="duplicateValues" dxfId="12" priority="12"/>
    <cfRule type="duplicateValues" dxfId="11" priority="13"/>
    <cfRule type="duplicateValues" dxfId="10" priority="14"/>
  </conditionalFormatting>
  <conditionalFormatting sqref="G6:G19">
    <cfRule type="duplicateValues" dxfId="9" priority="748"/>
    <cfRule type="duplicateValues" dxfId="8" priority="749"/>
    <cfRule type="duplicateValues" dxfId="7" priority="750"/>
    <cfRule type="duplicateValues" dxfId="6" priority="751"/>
  </conditionalFormatting>
  <pageMargins left="0.7" right="0.7" top="0.75" bottom="0.89" header="0.3" footer="0.3"/>
  <pageSetup scale="6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0"/>
  <sheetViews>
    <sheetView tabSelected="1" view="pageBreakPreview" topLeftCell="A5" zoomScale="60" zoomScaleNormal="80" workbookViewId="0">
      <selection activeCell="A2" sqref="A2:Q2"/>
    </sheetView>
  </sheetViews>
  <sheetFormatPr defaultRowHeight="14.4"/>
  <cols>
    <col min="1" max="1" width="6.33203125" customWidth="1"/>
    <col min="2" max="2" width="35.5546875" customWidth="1"/>
    <col min="3" max="3" width="15.21875" customWidth="1"/>
    <col min="4" max="4" width="19" customWidth="1"/>
    <col min="5" max="5" width="13.21875" customWidth="1"/>
    <col min="6" max="17" width="15.5546875" customWidth="1"/>
  </cols>
  <sheetData>
    <row r="1" spans="1:17" ht="61.2">
      <c r="A1" s="97" t="s">
        <v>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2" spans="1:17" ht="44.55" customHeight="1">
      <c r="A2" s="101" t="s">
        <v>88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7" ht="23.4" customHeight="1">
      <c r="A3" s="95" t="s">
        <v>190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</row>
    <row r="4" spans="1:17" ht="23.4" customHeight="1">
      <c r="A4" s="98" t="s">
        <v>91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</row>
    <row r="5" spans="1:17" ht="212.55" customHeight="1">
      <c r="A5" s="99" t="s">
        <v>24</v>
      </c>
      <c r="B5" s="100" t="s">
        <v>23</v>
      </c>
      <c r="C5" s="20" t="s">
        <v>8</v>
      </c>
      <c r="D5" s="20" t="s">
        <v>9</v>
      </c>
      <c r="E5" s="20" t="s">
        <v>47</v>
      </c>
      <c r="F5" s="11" t="s">
        <v>10</v>
      </c>
      <c r="G5" s="11" t="s">
        <v>11</v>
      </c>
      <c r="H5" s="20" t="s">
        <v>12</v>
      </c>
      <c r="I5" s="20" t="s">
        <v>13</v>
      </c>
      <c r="J5" s="20" t="s">
        <v>36</v>
      </c>
      <c r="K5" s="20" t="s">
        <v>37</v>
      </c>
      <c r="L5" s="20" t="s">
        <v>14</v>
      </c>
      <c r="M5" s="20" t="s">
        <v>89</v>
      </c>
      <c r="N5" s="20" t="s">
        <v>15</v>
      </c>
      <c r="O5" s="20" t="s">
        <v>16</v>
      </c>
      <c r="P5" s="20" t="s">
        <v>17</v>
      </c>
      <c r="Q5" s="20" t="s">
        <v>38</v>
      </c>
    </row>
    <row r="6" spans="1:17" ht="23.4">
      <c r="A6" s="100"/>
      <c r="B6" s="100"/>
      <c r="C6" s="20" t="s">
        <v>18</v>
      </c>
      <c r="D6" s="20" t="s">
        <v>18</v>
      </c>
      <c r="E6" s="20" t="s">
        <v>18</v>
      </c>
      <c r="F6" s="20" t="s">
        <v>18</v>
      </c>
      <c r="G6" s="20" t="s">
        <v>18</v>
      </c>
      <c r="H6" s="20" t="s">
        <v>18</v>
      </c>
      <c r="I6" s="20" t="s">
        <v>19</v>
      </c>
      <c r="J6" s="20" t="s">
        <v>19</v>
      </c>
      <c r="K6" s="20" t="s">
        <v>19</v>
      </c>
      <c r="L6" s="20" t="s">
        <v>20</v>
      </c>
      <c r="M6" s="20" t="s">
        <v>18</v>
      </c>
      <c r="N6" s="20"/>
      <c r="O6" s="20"/>
      <c r="P6" s="20"/>
      <c r="Q6" s="29" t="s">
        <v>39</v>
      </c>
    </row>
    <row r="7" spans="1:17" ht="23.4">
      <c r="A7" s="30" t="s">
        <v>92</v>
      </c>
      <c r="B7" s="43" t="s">
        <v>112</v>
      </c>
      <c r="C7" s="33">
        <v>2382</v>
      </c>
      <c r="D7" s="33">
        <v>1134</v>
      </c>
      <c r="E7" s="33">
        <v>30</v>
      </c>
      <c r="F7" s="33">
        <v>2636</v>
      </c>
      <c r="G7" s="33">
        <v>2636</v>
      </c>
      <c r="H7" s="33">
        <f t="shared" ref="H7:H20" si="0">G7-F7</f>
        <v>0</v>
      </c>
      <c r="I7" s="33">
        <v>1400</v>
      </c>
      <c r="J7" s="33">
        <v>790</v>
      </c>
      <c r="K7" s="33">
        <v>400</v>
      </c>
      <c r="L7" s="33" t="s">
        <v>21</v>
      </c>
      <c r="M7" s="33">
        <v>1200</v>
      </c>
      <c r="N7" s="33" t="s">
        <v>22</v>
      </c>
      <c r="O7" s="34">
        <v>2</v>
      </c>
      <c r="P7" s="33" t="s">
        <v>6</v>
      </c>
      <c r="Q7" s="35" t="s">
        <v>193</v>
      </c>
    </row>
    <row r="8" spans="1:17" ht="23.4">
      <c r="A8" s="30" t="s">
        <v>93</v>
      </c>
      <c r="B8" s="43" t="s">
        <v>116</v>
      </c>
      <c r="C8" s="33">
        <v>2382</v>
      </c>
      <c r="D8" s="33">
        <v>1134</v>
      </c>
      <c r="E8" s="33">
        <v>30</v>
      </c>
      <c r="F8" s="33">
        <v>2636</v>
      </c>
      <c r="G8" s="33">
        <v>2636</v>
      </c>
      <c r="H8" s="33">
        <f t="shared" si="0"/>
        <v>0</v>
      </c>
      <c r="I8" s="33">
        <v>1400</v>
      </c>
      <c r="J8" s="33">
        <v>790</v>
      </c>
      <c r="K8" s="33">
        <v>400</v>
      </c>
      <c r="L8" s="33" t="s">
        <v>21</v>
      </c>
      <c r="M8" s="33">
        <v>1200</v>
      </c>
      <c r="N8" s="33" t="s">
        <v>22</v>
      </c>
      <c r="O8" s="34">
        <v>2</v>
      </c>
      <c r="P8" s="33" t="s">
        <v>6</v>
      </c>
      <c r="Q8" s="35" t="s">
        <v>194</v>
      </c>
    </row>
    <row r="9" spans="1:17" ht="23.4">
      <c r="A9" s="30" t="s">
        <v>94</v>
      </c>
      <c r="B9" s="43" t="s">
        <v>115</v>
      </c>
      <c r="C9" s="33">
        <v>2382</v>
      </c>
      <c r="D9" s="33">
        <v>1134</v>
      </c>
      <c r="E9" s="33">
        <v>30</v>
      </c>
      <c r="F9" s="33">
        <v>2636</v>
      </c>
      <c r="G9" s="33">
        <v>2636</v>
      </c>
      <c r="H9" s="33">
        <f t="shared" si="0"/>
        <v>0</v>
      </c>
      <c r="I9" s="33">
        <v>1400</v>
      </c>
      <c r="J9" s="33">
        <v>790</v>
      </c>
      <c r="K9" s="33">
        <v>400</v>
      </c>
      <c r="L9" s="33" t="s">
        <v>21</v>
      </c>
      <c r="M9" s="33">
        <v>1200</v>
      </c>
      <c r="N9" s="33" t="s">
        <v>22</v>
      </c>
      <c r="O9" s="34">
        <v>2</v>
      </c>
      <c r="P9" s="33" t="s">
        <v>6</v>
      </c>
      <c r="Q9" s="35" t="s">
        <v>195</v>
      </c>
    </row>
    <row r="10" spans="1:17" ht="23.4">
      <c r="A10" s="30" t="s">
        <v>95</v>
      </c>
      <c r="B10" s="43" t="s">
        <v>108</v>
      </c>
      <c r="C10" s="33">
        <v>2382</v>
      </c>
      <c r="D10" s="33">
        <v>1134</v>
      </c>
      <c r="E10" s="33">
        <v>30</v>
      </c>
      <c r="F10" s="33">
        <v>2636</v>
      </c>
      <c r="G10" s="33">
        <v>2636</v>
      </c>
      <c r="H10" s="33">
        <f t="shared" si="0"/>
        <v>0</v>
      </c>
      <c r="I10" s="33">
        <v>1400</v>
      </c>
      <c r="J10" s="33">
        <v>790</v>
      </c>
      <c r="K10" s="33">
        <v>400</v>
      </c>
      <c r="L10" s="33" t="s">
        <v>21</v>
      </c>
      <c r="M10" s="33">
        <v>1200</v>
      </c>
      <c r="N10" s="33" t="s">
        <v>22</v>
      </c>
      <c r="O10" s="34">
        <v>2</v>
      </c>
      <c r="P10" s="33" t="s">
        <v>6</v>
      </c>
      <c r="Q10" s="35" t="s">
        <v>196</v>
      </c>
    </row>
    <row r="11" spans="1:17" ht="23.4">
      <c r="A11" s="30" t="s">
        <v>96</v>
      </c>
      <c r="B11" s="43" t="s">
        <v>111</v>
      </c>
      <c r="C11" s="33">
        <v>2382</v>
      </c>
      <c r="D11" s="33">
        <v>1134</v>
      </c>
      <c r="E11" s="33">
        <v>30</v>
      </c>
      <c r="F11" s="33">
        <v>2636</v>
      </c>
      <c r="G11" s="33">
        <v>2636</v>
      </c>
      <c r="H11" s="33">
        <f t="shared" si="0"/>
        <v>0</v>
      </c>
      <c r="I11" s="33">
        <v>1400</v>
      </c>
      <c r="J11" s="33">
        <v>790</v>
      </c>
      <c r="K11" s="33">
        <v>400</v>
      </c>
      <c r="L11" s="33" t="s">
        <v>21</v>
      </c>
      <c r="M11" s="33">
        <v>1200</v>
      </c>
      <c r="N11" s="33" t="s">
        <v>22</v>
      </c>
      <c r="O11" s="34">
        <v>2</v>
      </c>
      <c r="P11" s="33" t="s">
        <v>6</v>
      </c>
      <c r="Q11" s="35" t="s">
        <v>197</v>
      </c>
    </row>
    <row r="12" spans="1:17" ht="23.4">
      <c r="A12" s="30" t="s">
        <v>97</v>
      </c>
      <c r="B12" s="43" t="s">
        <v>120</v>
      </c>
      <c r="C12" s="33">
        <v>2382</v>
      </c>
      <c r="D12" s="33">
        <v>1134</v>
      </c>
      <c r="E12" s="33">
        <v>30</v>
      </c>
      <c r="F12" s="33">
        <v>2636</v>
      </c>
      <c r="G12" s="33">
        <v>2636</v>
      </c>
      <c r="H12" s="33">
        <f t="shared" si="0"/>
        <v>0</v>
      </c>
      <c r="I12" s="33">
        <v>1400</v>
      </c>
      <c r="J12" s="33">
        <v>790</v>
      </c>
      <c r="K12" s="33">
        <v>400</v>
      </c>
      <c r="L12" s="33" t="s">
        <v>21</v>
      </c>
      <c r="M12" s="33">
        <v>1200</v>
      </c>
      <c r="N12" s="33" t="s">
        <v>22</v>
      </c>
      <c r="O12" s="34">
        <v>2</v>
      </c>
      <c r="P12" s="33" t="s">
        <v>6</v>
      </c>
      <c r="Q12" s="35" t="s">
        <v>198</v>
      </c>
    </row>
    <row r="13" spans="1:17" ht="23.4">
      <c r="A13" s="30" t="s">
        <v>98</v>
      </c>
      <c r="B13" s="43" t="s">
        <v>109</v>
      </c>
      <c r="C13" s="33">
        <v>2382</v>
      </c>
      <c r="D13" s="33">
        <v>1134</v>
      </c>
      <c r="E13" s="33">
        <v>30</v>
      </c>
      <c r="F13" s="33">
        <v>2636</v>
      </c>
      <c r="G13" s="33">
        <v>2636</v>
      </c>
      <c r="H13" s="33">
        <f t="shared" si="0"/>
        <v>0</v>
      </c>
      <c r="I13" s="33">
        <v>1400</v>
      </c>
      <c r="J13" s="33">
        <v>790</v>
      </c>
      <c r="K13" s="33">
        <v>400</v>
      </c>
      <c r="L13" s="33" t="s">
        <v>21</v>
      </c>
      <c r="M13" s="33">
        <v>1200</v>
      </c>
      <c r="N13" s="33" t="s">
        <v>22</v>
      </c>
      <c r="O13" s="34">
        <v>2</v>
      </c>
      <c r="P13" s="33" t="s">
        <v>6</v>
      </c>
      <c r="Q13" s="35" t="s">
        <v>199</v>
      </c>
    </row>
    <row r="14" spans="1:17" ht="23.4">
      <c r="A14" s="30" t="s">
        <v>99</v>
      </c>
      <c r="B14" s="43" t="s">
        <v>110</v>
      </c>
      <c r="C14" s="33">
        <v>2382</v>
      </c>
      <c r="D14" s="33">
        <v>1134</v>
      </c>
      <c r="E14" s="33">
        <v>30</v>
      </c>
      <c r="F14" s="33">
        <v>2636</v>
      </c>
      <c r="G14" s="33">
        <v>2636</v>
      </c>
      <c r="H14" s="33">
        <f t="shared" si="0"/>
        <v>0</v>
      </c>
      <c r="I14" s="33">
        <v>1400</v>
      </c>
      <c r="J14" s="33">
        <v>790</v>
      </c>
      <c r="K14" s="33">
        <v>400</v>
      </c>
      <c r="L14" s="33" t="s">
        <v>21</v>
      </c>
      <c r="M14" s="33">
        <v>1200</v>
      </c>
      <c r="N14" s="33" t="s">
        <v>22</v>
      </c>
      <c r="O14" s="34">
        <v>2</v>
      </c>
      <c r="P14" s="33" t="s">
        <v>6</v>
      </c>
      <c r="Q14" s="35" t="s">
        <v>200</v>
      </c>
    </row>
    <row r="15" spans="1:17" ht="23.4">
      <c r="A15" s="30" t="s">
        <v>100</v>
      </c>
      <c r="B15" s="43" t="s">
        <v>113</v>
      </c>
      <c r="C15" s="33">
        <v>2382</v>
      </c>
      <c r="D15" s="33">
        <v>1134</v>
      </c>
      <c r="E15" s="33">
        <v>30</v>
      </c>
      <c r="F15" s="33">
        <v>2636</v>
      </c>
      <c r="G15" s="33">
        <v>2636</v>
      </c>
      <c r="H15" s="33">
        <f t="shared" si="0"/>
        <v>0</v>
      </c>
      <c r="I15" s="33">
        <v>1400</v>
      </c>
      <c r="J15" s="33">
        <v>790</v>
      </c>
      <c r="K15" s="33">
        <v>400</v>
      </c>
      <c r="L15" s="33" t="s">
        <v>21</v>
      </c>
      <c r="M15" s="33">
        <v>1200</v>
      </c>
      <c r="N15" s="33" t="s">
        <v>22</v>
      </c>
      <c r="O15" s="34">
        <v>2</v>
      </c>
      <c r="P15" s="33" t="s">
        <v>6</v>
      </c>
      <c r="Q15" s="35" t="s">
        <v>201</v>
      </c>
    </row>
    <row r="16" spans="1:17" ht="23.4">
      <c r="A16" s="30" t="s">
        <v>101</v>
      </c>
      <c r="B16" s="43" t="s">
        <v>114</v>
      </c>
      <c r="C16" s="33">
        <v>2382</v>
      </c>
      <c r="D16" s="33">
        <v>1134</v>
      </c>
      <c r="E16" s="33">
        <v>30</v>
      </c>
      <c r="F16" s="33">
        <v>2636</v>
      </c>
      <c r="G16" s="33">
        <v>2636</v>
      </c>
      <c r="H16" s="33">
        <f t="shared" si="0"/>
        <v>0</v>
      </c>
      <c r="I16" s="33">
        <v>1400</v>
      </c>
      <c r="J16" s="33">
        <v>790</v>
      </c>
      <c r="K16" s="33">
        <v>400</v>
      </c>
      <c r="L16" s="33" t="s">
        <v>21</v>
      </c>
      <c r="M16" s="33">
        <v>1200</v>
      </c>
      <c r="N16" s="33" t="s">
        <v>22</v>
      </c>
      <c r="O16" s="34">
        <v>2</v>
      </c>
      <c r="P16" s="33" t="s">
        <v>6</v>
      </c>
      <c r="Q16" s="35" t="s">
        <v>202</v>
      </c>
    </row>
    <row r="17" spans="1:17" ht="23.4">
      <c r="A17" s="30" t="s">
        <v>102</v>
      </c>
      <c r="B17" s="43" t="s">
        <v>119</v>
      </c>
      <c r="C17" s="33">
        <v>2382</v>
      </c>
      <c r="D17" s="33">
        <v>1134</v>
      </c>
      <c r="E17" s="33">
        <v>30</v>
      </c>
      <c r="F17" s="33">
        <v>2636</v>
      </c>
      <c r="G17" s="33">
        <v>2636</v>
      </c>
      <c r="H17" s="33">
        <f t="shared" si="0"/>
        <v>0</v>
      </c>
      <c r="I17" s="33">
        <v>1400</v>
      </c>
      <c r="J17" s="33">
        <v>790</v>
      </c>
      <c r="K17" s="33">
        <v>400</v>
      </c>
      <c r="L17" s="33" t="s">
        <v>21</v>
      </c>
      <c r="M17" s="33">
        <v>1200</v>
      </c>
      <c r="N17" s="33" t="s">
        <v>22</v>
      </c>
      <c r="O17" s="34">
        <v>2</v>
      </c>
      <c r="P17" s="33" t="s">
        <v>6</v>
      </c>
      <c r="Q17" s="35" t="s">
        <v>203</v>
      </c>
    </row>
    <row r="18" spans="1:17" ht="23.4">
      <c r="A18" s="30" t="s">
        <v>103</v>
      </c>
      <c r="B18" s="43" t="s">
        <v>183</v>
      </c>
      <c r="C18" s="33">
        <v>2382</v>
      </c>
      <c r="D18" s="33">
        <v>1134</v>
      </c>
      <c r="E18" s="33">
        <v>30</v>
      </c>
      <c r="F18" s="33">
        <v>2636</v>
      </c>
      <c r="G18" s="33">
        <v>2636</v>
      </c>
      <c r="H18" s="33">
        <f t="shared" si="0"/>
        <v>0</v>
      </c>
      <c r="I18" s="33">
        <v>1400</v>
      </c>
      <c r="J18" s="33">
        <v>790</v>
      </c>
      <c r="K18" s="33">
        <v>400</v>
      </c>
      <c r="L18" s="33" t="s">
        <v>21</v>
      </c>
      <c r="M18" s="33">
        <v>1200</v>
      </c>
      <c r="N18" s="33" t="s">
        <v>22</v>
      </c>
      <c r="O18" s="34">
        <v>2</v>
      </c>
      <c r="P18" s="33" t="s">
        <v>6</v>
      </c>
      <c r="Q18" s="35" t="s">
        <v>90</v>
      </c>
    </row>
    <row r="19" spans="1:17" ht="23.4">
      <c r="A19" s="30" t="s">
        <v>104</v>
      </c>
      <c r="B19" s="43" t="s">
        <v>118</v>
      </c>
      <c r="C19" s="33">
        <v>2382</v>
      </c>
      <c r="D19" s="33">
        <v>1134</v>
      </c>
      <c r="E19" s="33">
        <v>30</v>
      </c>
      <c r="F19" s="33">
        <v>2636</v>
      </c>
      <c r="G19" s="33">
        <v>2636</v>
      </c>
      <c r="H19" s="33">
        <f t="shared" si="0"/>
        <v>0</v>
      </c>
      <c r="I19" s="33">
        <v>1400</v>
      </c>
      <c r="J19" s="33">
        <v>790</v>
      </c>
      <c r="K19" s="33">
        <v>400</v>
      </c>
      <c r="L19" s="33" t="s">
        <v>21</v>
      </c>
      <c r="M19" s="33">
        <v>1200</v>
      </c>
      <c r="N19" s="33" t="s">
        <v>22</v>
      </c>
      <c r="O19" s="34">
        <v>2</v>
      </c>
      <c r="P19" s="33" t="s">
        <v>6</v>
      </c>
      <c r="Q19" s="35" t="s">
        <v>196</v>
      </c>
    </row>
    <row r="20" spans="1:17" ht="23.4">
      <c r="A20" s="30" t="s">
        <v>105</v>
      </c>
      <c r="B20" s="43" t="s">
        <v>117</v>
      </c>
      <c r="C20" s="33">
        <v>2382</v>
      </c>
      <c r="D20" s="33">
        <v>1134</v>
      </c>
      <c r="E20" s="33">
        <v>30</v>
      </c>
      <c r="F20" s="33">
        <v>2636</v>
      </c>
      <c r="G20" s="33">
        <v>2636</v>
      </c>
      <c r="H20" s="33">
        <f t="shared" si="0"/>
        <v>0</v>
      </c>
      <c r="I20" s="33">
        <v>1400</v>
      </c>
      <c r="J20" s="33">
        <v>790</v>
      </c>
      <c r="K20" s="33">
        <v>400</v>
      </c>
      <c r="L20" s="33" t="s">
        <v>21</v>
      </c>
      <c r="M20" s="33">
        <v>1200</v>
      </c>
      <c r="N20" s="33" t="s">
        <v>22</v>
      </c>
      <c r="O20" s="34">
        <v>2</v>
      </c>
      <c r="P20" s="33" t="s">
        <v>6</v>
      </c>
      <c r="Q20" s="35" t="s">
        <v>201</v>
      </c>
    </row>
  </sheetData>
  <autoFilter ref="A5:Q6" xr:uid="{00000000-0001-0000-0400-000000000000}">
    <sortState xmlns:xlrd2="http://schemas.microsoft.com/office/spreadsheetml/2017/richdata2" ref="A8:Q20">
      <sortCondition ref="B5:B6"/>
    </sortState>
  </autoFilter>
  <mergeCells count="6">
    <mergeCell ref="A1:Q1"/>
    <mergeCell ref="A3:Q3"/>
    <mergeCell ref="A4:Q4"/>
    <mergeCell ref="A5:A6"/>
    <mergeCell ref="B5:B6"/>
    <mergeCell ref="A2:Q2"/>
  </mergeCells>
  <phoneticPr fontId="39" type="noConversion"/>
  <conditionalFormatting sqref="B7:B20">
    <cfRule type="duplicateValues" dxfId="5" priority="754"/>
  </conditionalFormatting>
  <conditionalFormatting sqref="B21:B1048576 B5:B6">
    <cfRule type="duplicateValues" dxfId="4" priority="677"/>
    <cfRule type="duplicateValues" dxfId="3" priority="678"/>
    <cfRule type="duplicateValues" dxfId="2" priority="679"/>
  </conditionalFormatting>
  <conditionalFormatting sqref="B21:B1048576">
    <cfRule type="duplicateValues" dxfId="1" priority="689"/>
  </conditionalFormatting>
  <conditionalFormatting sqref="H7:H20">
    <cfRule type="cellIs" dxfId="0" priority="31" operator="greaterThan">
      <formula>3</formula>
    </cfRule>
  </conditionalFormatting>
  <pageMargins left="0.24" right="0.56999999999999995" top="0.75" bottom="0.75" header="0.3" footer="0.3"/>
  <pageSetup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7CBF-F681-4994-B522-58BF256407FE}">
  <dimension ref="A1:O22"/>
  <sheetViews>
    <sheetView view="pageBreakPreview" topLeftCell="B1" zoomScale="55" zoomScaleNormal="100" zoomScaleSheetLayoutView="55" workbookViewId="0">
      <selection activeCell="G12" sqref="G12"/>
    </sheetView>
  </sheetViews>
  <sheetFormatPr defaultRowHeight="14.4"/>
  <cols>
    <col min="1" max="1" width="5.33203125" bestFit="1" customWidth="1"/>
    <col min="2" max="2" width="39" bestFit="1" customWidth="1"/>
    <col min="3" max="4" width="19.88671875" customWidth="1"/>
    <col min="5" max="5" width="22.109375" bestFit="1" customWidth="1"/>
    <col min="6" max="15" width="19.88671875" customWidth="1"/>
  </cols>
  <sheetData>
    <row r="1" spans="1:15" ht="61.2">
      <c r="A1" s="97" t="s">
        <v>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2" spans="1:15" ht="36.6">
      <c r="A2" s="102" t="s">
        <v>72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4"/>
    </row>
    <row r="3" spans="1:15" ht="23.4" customHeight="1">
      <c r="A3" s="95" t="s">
        <v>191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</row>
    <row r="4" spans="1:15" ht="23.4" customHeight="1">
      <c r="A4" s="98" t="s">
        <v>91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1:15" ht="77.400000000000006">
      <c r="A5" s="37" t="s">
        <v>48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7" t="s">
        <v>56</v>
      </c>
      <c r="J5" s="37" t="s">
        <v>57</v>
      </c>
      <c r="K5" s="37" t="s">
        <v>58</v>
      </c>
      <c r="L5" s="37" t="s">
        <v>59</v>
      </c>
      <c r="M5" s="37" t="s">
        <v>60</v>
      </c>
      <c r="N5" s="37" t="s">
        <v>61</v>
      </c>
      <c r="O5" s="37" t="s">
        <v>62</v>
      </c>
    </row>
    <row r="6" spans="1:15" ht="49.2" customHeight="1">
      <c r="A6" s="38">
        <v>1</v>
      </c>
      <c r="B6" s="38" t="s">
        <v>112</v>
      </c>
      <c r="C6" s="38" t="s">
        <v>204</v>
      </c>
      <c r="D6" s="38" t="s">
        <v>71</v>
      </c>
      <c r="E6" s="38" t="s">
        <v>86</v>
      </c>
      <c r="F6" s="38" t="s">
        <v>205</v>
      </c>
      <c r="G6" s="38" t="s">
        <v>206</v>
      </c>
      <c r="H6" s="38">
        <v>630.73299999999995</v>
      </c>
      <c r="I6" s="38">
        <v>40.601999999999997</v>
      </c>
      <c r="J6" s="38">
        <v>15.534000000000001</v>
      </c>
      <c r="K6" s="38">
        <v>79.962999999999994</v>
      </c>
      <c r="L6" s="38">
        <v>48.722000000000001</v>
      </c>
      <c r="M6" s="38">
        <v>16.189</v>
      </c>
      <c r="N6" s="38" t="s">
        <v>70</v>
      </c>
      <c r="O6" s="39">
        <v>45675</v>
      </c>
    </row>
    <row r="7" spans="1:15" ht="49.2" customHeight="1">
      <c r="A7" s="38">
        <v>2</v>
      </c>
      <c r="B7" s="38" t="s">
        <v>116</v>
      </c>
      <c r="C7" s="38" t="s">
        <v>204</v>
      </c>
      <c r="D7" s="38" t="s">
        <v>71</v>
      </c>
      <c r="E7" s="38" t="s">
        <v>86</v>
      </c>
      <c r="F7" s="38" t="s">
        <v>205</v>
      </c>
      <c r="G7" s="38" t="s">
        <v>206</v>
      </c>
      <c r="H7" s="38">
        <v>625.50099999999998</v>
      </c>
      <c r="I7" s="38">
        <v>40.564</v>
      </c>
      <c r="J7" s="38">
        <v>15.42</v>
      </c>
      <c r="K7" s="38">
        <v>79.268000000000001</v>
      </c>
      <c r="L7" s="38">
        <v>48.683</v>
      </c>
      <c r="M7" s="38">
        <v>16.209</v>
      </c>
      <c r="N7" s="38" t="s">
        <v>70</v>
      </c>
      <c r="O7" s="39">
        <v>45675</v>
      </c>
    </row>
    <row r="8" spans="1:15" ht="49.2" customHeight="1">
      <c r="A8" s="38">
        <v>3</v>
      </c>
      <c r="B8" s="38" t="s">
        <v>115</v>
      </c>
      <c r="C8" s="38" t="s">
        <v>204</v>
      </c>
      <c r="D8" s="38" t="s">
        <v>71</v>
      </c>
      <c r="E8" s="38" t="s">
        <v>86</v>
      </c>
      <c r="F8" s="38" t="s">
        <v>205</v>
      </c>
      <c r="G8" s="38" t="s">
        <v>206</v>
      </c>
      <c r="H8" s="38">
        <v>628.55799999999999</v>
      </c>
      <c r="I8" s="38">
        <v>40.627000000000002</v>
      </c>
      <c r="J8" s="38">
        <v>15.472</v>
      </c>
      <c r="K8" s="38">
        <v>79.653000000000006</v>
      </c>
      <c r="L8" s="38">
        <v>48.728000000000002</v>
      </c>
      <c r="M8" s="38">
        <v>16.195</v>
      </c>
      <c r="N8" s="38" t="s">
        <v>70</v>
      </c>
      <c r="O8" s="39">
        <v>45675</v>
      </c>
    </row>
    <row r="9" spans="1:15" ht="49.2" customHeight="1">
      <c r="A9" s="38">
        <v>4</v>
      </c>
      <c r="B9" s="38" t="s">
        <v>108</v>
      </c>
      <c r="C9" s="38" t="s">
        <v>204</v>
      </c>
      <c r="D9" s="38" t="s">
        <v>71</v>
      </c>
      <c r="E9" s="38" t="s">
        <v>86</v>
      </c>
      <c r="F9" s="38" t="s">
        <v>205</v>
      </c>
      <c r="G9" s="38" t="s">
        <v>206</v>
      </c>
      <c r="H9" s="38">
        <v>628.50300000000004</v>
      </c>
      <c r="I9" s="38">
        <v>40.619</v>
      </c>
      <c r="J9" s="38">
        <v>15.473000000000001</v>
      </c>
      <c r="K9" s="38">
        <v>79.488</v>
      </c>
      <c r="L9" s="38">
        <v>48.735999999999997</v>
      </c>
      <c r="M9" s="38">
        <v>16.224</v>
      </c>
      <c r="N9" s="38" t="s">
        <v>70</v>
      </c>
      <c r="O9" s="39">
        <v>45675</v>
      </c>
    </row>
    <row r="10" spans="1:15" ht="49.2" customHeight="1">
      <c r="A10" s="38">
        <v>5</v>
      </c>
      <c r="B10" s="38" t="s">
        <v>111</v>
      </c>
      <c r="C10" s="38" t="s">
        <v>204</v>
      </c>
      <c r="D10" s="38" t="s">
        <v>71</v>
      </c>
      <c r="E10" s="38" t="s">
        <v>86</v>
      </c>
      <c r="F10" s="38" t="s">
        <v>205</v>
      </c>
      <c r="G10" s="38" t="s">
        <v>206</v>
      </c>
      <c r="H10" s="38">
        <v>629.83399999999995</v>
      </c>
      <c r="I10" s="38">
        <v>40.613</v>
      </c>
      <c r="J10" s="38">
        <v>15.507999999999999</v>
      </c>
      <c r="K10" s="38">
        <v>79.596000000000004</v>
      </c>
      <c r="L10" s="38">
        <v>48.747</v>
      </c>
      <c r="M10" s="38">
        <v>16.233000000000001</v>
      </c>
      <c r="N10" s="38" t="s">
        <v>70</v>
      </c>
      <c r="O10" s="39">
        <v>45675</v>
      </c>
    </row>
    <row r="11" spans="1:15" ht="49.2" customHeight="1">
      <c r="A11" s="38">
        <v>6</v>
      </c>
      <c r="B11" s="38" t="s">
        <v>120</v>
      </c>
      <c r="C11" s="38" t="s">
        <v>204</v>
      </c>
      <c r="D11" s="38" t="s">
        <v>71</v>
      </c>
      <c r="E11" s="38" t="s">
        <v>86</v>
      </c>
      <c r="F11" s="38" t="s">
        <v>205</v>
      </c>
      <c r="G11" s="38" t="s">
        <v>206</v>
      </c>
      <c r="H11" s="38">
        <v>625.94899999999996</v>
      </c>
      <c r="I11" s="38">
        <v>40.588999999999999</v>
      </c>
      <c r="J11" s="38">
        <v>15.422000000000001</v>
      </c>
      <c r="K11" s="38">
        <v>79.281000000000006</v>
      </c>
      <c r="L11" s="38">
        <v>48.725999999999999</v>
      </c>
      <c r="M11" s="38">
        <v>16.204000000000001</v>
      </c>
      <c r="N11" s="38" t="s">
        <v>70</v>
      </c>
      <c r="O11" s="39">
        <v>45675</v>
      </c>
    </row>
    <row r="12" spans="1:15" ht="49.2" customHeight="1">
      <c r="A12" s="38">
        <v>7</v>
      </c>
      <c r="B12" s="38" t="s">
        <v>109</v>
      </c>
      <c r="C12" s="38" t="s">
        <v>204</v>
      </c>
      <c r="D12" s="38" t="s">
        <v>71</v>
      </c>
      <c r="E12" s="38" t="s">
        <v>86</v>
      </c>
      <c r="F12" s="38" t="s">
        <v>205</v>
      </c>
      <c r="G12" s="38" t="s">
        <v>206</v>
      </c>
      <c r="H12" s="38">
        <v>626.06399999999996</v>
      </c>
      <c r="I12" s="38">
        <v>40.628</v>
      </c>
      <c r="J12" s="38">
        <v>15.41</v>
      </c>
      <c r="K12" s="38">
        <v>79.394000000000005</v>
      </c>
      <c r="L12" s="38">
        <v>48.713999999999999</v>
      </c>
      <c r="M12" s="38">
        <v>16.187999999999999</v>
      </c>
      <c r="N12" s="38" t="s">
        <v>70</v>
      </c>
      <c r="O12" s="39">
        <v>45675</v>
      </c>
    </row>
    <row r="13" spans="1:15" ht="49.2" customHeight="1">
      <c r="A13" s="38">
        <v>8</v>
      </c>
      <c r="B13" s="38" t="s">
        <v>110</v>
      </c>
      <c r="C13" s="38" t="s">
        <v>204</v>
      </c>
      <c r="D13" s="38" t="s">
        <v>71</v>
      </c>
      <c r="E13" s="38" t="s">
        <v>86</v>
      </c>
      <c r="F13" s="38" t="s">
        <v>205</v>
      </c>
      <c r="G13" s="38" t="s">
        <v>206</v>
      </c>
      <c r="H13" s="38">
        <v>625.21799999999996</v>
      </c>
      <c r="I13" s="38">
        <v>40.57</v>
      </c>
      <c r="J13" s="38">
        <v>15.411</v>
      </c>
      <c r="K13" s="38">
        <v>79.286000000000001</v>
      </c>
      <c r="L13" s="38">
        <v>48.735999999999997</v>
      </c>
      <c r="M13" s="38">
        <v>16.18</v>
      </c>
      <c r="N13" s="38" t="s">
        <v>70</v>
      </c>
      <c r="O13" s="39">
        <v>45675</v>
      </c>
    </row>
    <row r="14" spans="1:15" ht="49.2" customHeight="1">
      <c r="A14" s="38">
        <v>9</v>
      </c>
      <c r="B14" s="38" t="s">
        <v>113</v>
      </c>
      <c r="C14" s="38" t="s">
        <v>204</v>
      </c>
      <c r="D14" s="38" t="s">
        <v>71</v>
      </c>
      <c r="E14" s="38" t="s">
        <v>86</v>
      </c>
      <c r="F14" s="38" t="s">
        <v>205</v>
      </c>
      <c r="G14" s="38" t="s">
        <v>206</v>
      </c>
      <c r="H14" s="38">
        <v>629.85400000000004</v>
      </c>
      <c r="I14" s="38">
        <v>40.555999999999997</v>
      </c>
      <c r="J14" s="38">
        <v>15.531000000000001</v>
      </c>
      <c r="K14" s="38">
        <v>79.777000000000001</v>
      </c>
      <c r="L14" s="38">
        <v>48.744999999999997</v>
      </c>
      <c r="M14" s="38">
        <v>16.196999999999999</v>
      </c>
      <c r="N14" s="38" t="s">
        <v>70</v>
      </c>
      <c r="O14" s="39">
        <v>45675</v>
      </c>
    </row>
    <row r="15" spans="1:15" ht="49.2" customHeight="1">
      <c r="A15" s="38">
        <v>10</v>
      </c>
      <c r="B15" s="38" t="s">
        <v>114</v>
      </c>
      <c r="C15" s="38" t="s">
        <v>204</v>
      </c>
      <c r="D15" s="38" t="s">
        <v>71</v>
      </c>
      <c r="E15" s="38" t="s">
        <v>86</v>
      </c>
      <c r="F15" s="38" t="s">
        <v>205</v>
      </c>
      <c r="G15" s="38" t="s">
        <v>206</v>
      </c>
      <c r="H15" s="38">
        <v>630.72199999999998</v>
      </c>
      <c r="I15" s="38">
        <v>40.648000000000003</v>
      </c>
      <c r="J15" s="38">
        <v>15.516</v>
      </c>
      <c r="K15" s="38">
        <v>79.805999999999997</v>
      </c>
      <c r="L15" s="38">
        <v>48.697000000000003</v>
      </c>
      <c r="M15" s="38">
        <v>16.228999999999999</v>
      </c>
      <c r="N15" s="38" t="s">
        <v>70</v>
      </c>
      <c r="O15" s="39">
        <v>45675</v>
      </c>
    </row>
    <row r="16" spans="1:15" ht="49.2" customHeight="1">
      <c r="A16" s="38">
        <v>11</v>
      </c>
      <c r="B16" s="38" t="s">
        <v>119</v>
      </c>
      <c r="C16" s="38" t="s">
        <v>204</v>
      </c>
      <c r="D16" s="38" t="s">
        <v>71</v>
      </c>
      <c r="E16" s="38" t="s">
        <v>86</v>
      </c>
      <c r="F16" s="38" t="s">
        <v>205</v>
      </c>
      <c r="G16" s="38" t="s">
        <v>206</v>
      </c>
      <c r="H16" s="38">
        <v>626.03899999999999</v>
      </c>
      <c r="I16" s="38">
        <v>40.582999999999998</v>
      </c>
      <c r="J16" s="38">
        <v>15.426</v>
      </c>
      <c r="K16" s="38">
        <v>79.34</v>
      </c>
      <c r="L16" s="38">
        <v>48.720999999999997</v>
      </c>
      <c r="M16" s="38">
        <v>16.195</v>
      </c>
      <c r="N16" s="38" t="s">
        <v>70</v>
      </c>
      <c r="O16" s="39">
        <v>45675</v>
      </c>
    </row>
    <row r="17" spans="1:15" ht="49.2" customHeight="1">
      <c r="A17" s="38">
        <v>12</v>
      </c>
      <c r="B17" s="38" t="s">
        <v>183</v>
      </c>
      <c r="C17" s="38" t="s">
        <v>204</v>
      </c>
      <c r="D17" s="38" t="s">
        <v>71</v>
      </c>
      <c r="E17" s="38" t="s">
        <v>86</v>
      </c>
      <c r="F17" s="38" t="s">
        <v>205</v>
      </c>
      <c r="G17" s="38" t="s">
        <v>206</v>
      </c>
      <c r="H17" s="38">
        <v>626.82100000000003</v>
      </c>
      <c r="I17" s="38">
        <v>40.569000000000003</v>
      </c>
      <c r="J17" s="38">
        <v>15.451000000000001</v>
      </c>
      <c r="K17" s="38">
        <v>79.302999999999997</v>
      </c>
      <c r="L17" s="38">
        <v>48.694000000000003</v>
      </c>
      <c r="M17" s="38">
        <v>16.231999999999999</v>
      </c>
      <c r="N17" s="38" t="s">
        <v>70</v>
      </c>
      <c r="O17" s="39">
        <v>45675</v>
      </c>
    </row>
    <row r="18" spans="1:15" ht="49.2" customHeight="1">
      <c r="A18" s="38">
        <v>13</v>
      </c>
      <c r="B18" s="38" t="s">
        <v>118</v>
      </c>
      <c r="C18" s="38" t="s">
        <v>204</v>
      </c>
      <c r="D18" s="38" t="s">
        <v>71</v>
      </c>
      <c r="E18" s="38" t="s">
        <v>86</v>
      </c>
      <c r="F18" s="38" t="s">
        <v>205</v>
      </c>
      <c r="G18" s="38" t="s">
        <v>206</v>
      </c>
      <c r="H18" s="38">
        <v>625.88499999999999</v>
      </c>
      <c r="I18" s="38">
        <v>40.625999999999998</v>
      </c>
      <c r="J18" s="38">
        <v>15.406000000000001</v>
      </c>
      <c r="K18" s="38">
        <v>79.325999999999993</v>
      </c>
      <c r="L18" s="38">
        <v>48.682000000000002</v>
      </c>
      <c r="M18" s="38">
        <v>16.207000000000001</v>
      </c>
      <c r="N18" s="38" t="s">
        <v>70</v>
      </c>
      <c r="O18" s="39">
        <v>45675</v>
      </c>
    </row>
    <row r="19" spans="1:15" ht="49.2" customHeight="1">
      <c r="A19" s="38">
        <v>14</v>
      </c>
      <c r="B19" s="38" t="s">
        <v>117</v>
      </c>
      <c r="C19" s="38" t="s">
        <v>204</v>
      </c>
      <c r="D19" s="38" t="s">
        <v>71</v>
      </c>
      <c r="E19" s="38" t="s">
        <v>86</v>
      </c>
      <c r="F19" s="38" t="s">
        <v>205</v>
      </c>
      <c r="G19" s="38" t="s">
        <v>206</v>
      </c>
      <c r="H19" s="38">
        <v>628.89099999999996</v>
      </c>
      <c r="I19" s="38">
        <v>40.61</v>
      </c>
      <c r="J19" s="38">
        <v>15.486000000000001</v>
      </c>
      <c r="K19" s="38">
        <v>79.474999999999994</v>
      </c>
      <c r="L19" s="38">
        <v>48.725000000000001</v>
      </c>
      <c r="M19" s="38">
        <v>16.239999999999998</v>
      </c>
      <c r="N19" s="38" t="s">
        <v>70</v>
      </c>
      <c r="O19" s="39">
        <v>45675</v>
      </c>
    </row>
    <row r="21" spans="1:15" ht="10.8" customHeight="1"/>
    <row r="22" spans="1:15" hidden="1"/>
  </sheetData>
  <autoFilter ref="A1:O19" xr:uid="{B3537CBF-F681-4994-B522-58BF256407FE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4">
    <mergeCell ref="A3:O3"/>
    <mergeCell ref="A4:O4"/>
    <mergeCell ref="A1:O1"/>
    <mergeCell ref="A2:O2"/>
  </mergeCells>
  <phoneticPr fontId="39" type="noConversion"/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Samples</vt:lpstr>
      <vt:lpstr>MS</vt:lpstr>
      <vt:lpstr>FTR(Inspection)</vt:lpstr>
      <vt:lpstr>Bifaciality</vt:lpstr>
      <vt:lpstr>Visual Inspection Sheet</vt:lpstr>
      <vt:lpstr>EL Inspection Sheet</vt:lpstr>
      <vt:lpstr>IR,HV,GD,Wet Leakage</vt:lpstr>
      <vt:lpstr>Dimension</vt:lpstr>
      <vt:lpstr>RFID</vt:lpstr>
      <vt:lpstr>Bifaciality!Print_Area</vt:lpstr>
      <vt:lpstr>'EL Inspection Sheet'!Print_Area</vt:lpstr>
      <vt:lpstr>'FTR(Inspection)'!Print_Area</vt:lpstr>
      <vt:lpstr>'Visual Inspection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BABLU</dc:creator>
  <cp:lastModifiedBy>Saunoo kumar</cp:lastModifiedBy>
  <cp:lastPrinted>2026-01-17T10:58:44Z</cp:lastPrinted>
  <dcterms:created xsi:type="dcterms:W3CDTF">2015-06-05T18:17:20Z</dcterms:created>
  <dcterms:modified xsi:type="dcterms:W3CDTF">2026-01-17T12:11:19Z</dcterms:modified>
</cp:coreProperties>
</file>